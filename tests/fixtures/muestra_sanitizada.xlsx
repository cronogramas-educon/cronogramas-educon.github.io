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name="DISTRIBUCIÓN HORAS" sheetId="1" state="visible" r:id="rId1"/>
    <sheet name="Hoja1" sheetId="2" state="visible" r:id="rId2"/>
  </sheets>
  <definedNames>
    <definedName name="_xlnm._FilterDatabase" localSheetId="1" hidden="1">'Hoja1'!$A$2:$D$37</definedName>
  </definedNames>
  <calcPr calcId="191028" fullCalcOnLoad="1" iterateDelta="0.0001"/>
</workbook>
</file>

<file path=xl/styles.xml><?xml version="1.0" encoding="utf-8"?>
<styleSheet xmlns="http://schemas.openxmlformats.org/spreadsheetml/2006/main">
  <numFmts count="0"/>
  <fonts count="8">
    <font>
      <name val="Calibri"/>
      <charset val="1"/>
      <color theme="1"/>
      <sz val="11"/>
    </font>
    <font>
      <name val="Calibri"/>
      <charset val="1"/>
      <sz val="11"/>
    </font>
    <font>
      <name val="Calibri"/>
      <charset val="1"/>
      <b val="1"/>
      <color rgb="FFFFFFFF"/>
      <sz val="11"/>
    </font>
    <font>
      <name val="Calibri"/>
      <charset val="1"/>
      <b val="1"/>
      <sz val="11"/>
    </font>
    <font>
      <name val="Calibri"/>
      <charset val="1"/>
      <b val="1"/>
      <color theme="1"/>
      <sz val="11"/>
    </font>
    <font>
      <name val="Calibri"/>
      <charset val="1"/>
      <color theme="1"/>
      <sz val="10"/>
    </font>
    <font>
      <name val="Calibri"/>
      <charset val="1"/>
      <b val="1"/>
      <color theme="1"/>
      <sz val="10"/>
    </font>
    <font>
      <name val="Calibri"/>
      <charset val="1"/>
      <color theme="10"/>
      <sz val="11"/>
      <u val="single"/>
    </font>
  </fonts>
  <fills count="9">
    <fill>
      <patternFill/>
    </fill>
    <fill>
      <patternFill patternType="gray125"/>
    </fill>
    <fill>
      <patternFill patternType="solid">
        <fgColor theme="0"/>
        <bgColor rgb="FFF2F2F2"/>
      </patternFill>
    </fill>
    <fill>
      <patternFill patternType="solid">
        <fgColor rgb="FF5B9BD5"/>
        <bgColor rgb="FF969696"/>
      </patternFill>
    </fill>
    <fill>
      <patternFill patternType="solid">
        <fgColor theme="6" tint="0.7998901333658864"/>
        <bgColor rgb="FFF2F2F2"/>
      </patternFill>
    </fill>
    <fill>
      <patternFill patternType="solid">
        <fgColor theme="2"/>
        <bgColor rgb="FFEDEDED"/>
      </patternFill>
    </fill>
    <fill>
      <patternFill patternType="solid">
        <fgColor theme="4" tint="0.7998901333658864"/>
        <bgColor rgb="FFE7E6E6"/>
      </patternFill>
    </fill>
    <fill>
      <patternFill patternType="solid">
        <fgColor theme="7" tint="0.7998901333658864"/>
        <bgColor rgb="FFF2F2F2"/>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7" fillId="0" borderId="0"/>
  </cellStyleXfs>
  <cellXfs count="42">
    <xf numFmtId="0" fontId="0" fillId="0" borderId="0" pivotButton="0" quotePrefix="0" xfId="0"/>
    <xf numFmtId="0" fontId="3" fillId="0" borderId="0" applyAlignment="1" pivotButton="0" quotePrefix="0" xfId="0">
      <alignment horizontal="center" vertical="center"/>
    </xf>
    <xf numFmtId="0" fontId="0" fillId="2" borderId="0" pivotButton="0" quotePrefix="0" xfId="0"/>
    <xf numFmtId="0" fontId="1" fillId="0" borderId="0" applyAlignment="1" pivotButton="0" quotePrefix="0" xfId="0">
      <alignment vertical="center"/>
    </xf>
    <xf numFmtId="0" fontId="1" fillId="0" borderId="0" applyAlignment="1" pivotButton="0" quotePrefix="0" xfId="0">
      <alignment horizontal="right" vertical="center"/>
    </xf>
    <xf numFmtId="1" fontId="1" fillId="0" borderId="0" applyAlignment="1" pivotButton="0" quotePrefix="0" xfId="0">
      <alignment vertical="center"/>
    </xf>
    <xf numFmtId="0" fontId="1"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1" fillId="0" borderId="0" applyAlignment="1" pivotButton="0" quotePrefix="0" xfId="0">
      <alignment horizontal="left" vertical="center"/>
    </xf>
    <xf numFmtId="0" fontId="3" fillId="0" borderId="1" applyAlignment="1" pivotButton="0" quotePrefix="0" xfId="0">
      <alignment horizontal="center" vertical="center" wrapText="1"/>
    </xf>
    <xf numFmtId="0" fontId="1" fillId="0" borderId="0" applyAlignment="1" pivotButton="0" quotePrefix="0" xfId="0">
      <alignment horizontal="center" vertical="center"/>
    </xf>
    <xf numFmtId="1" fontId="1"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horizontal="justify" vertical="center"/>
    </xf>
    <xf numFmtId="1" fontId="3" fillId="0" borderId="0" applyAlignment="1" pivotButton="0" quotePrefix="0" xfId="0">
      <alignment horizontal="center" vertical="center"/>
    </xf>
    <xf numFmtId="0" fontId="3" fillId="6" borderId="1" applyAlignment="1" pivotButton="0" quotePrefix="0" xfId="0">
      <alignment horizontal="center" vertical="center" wrapText="1"/>
    </xf>
    <xf numFmtId="0" fontId="1" fillId="6" borderId="1" applyAlignment="1" pivotButton="0" quotePrefix="0" xfId="0">
      <alignment horizontal="left" vertical="center" wrapText="1"/>
    </xf>
    <xf numFmtId="0" fontId="1" fillId="6" borderId="1" applyAlignment="1" pivotButton="0" quotePrefix="0" xfId="0">
      <alignment horizontal="center" vertical="center" wrapText="1"/>
    </xf>
    <xf numFmtId="0" fontId="1" fillId="0" borderId="1" applyAlignment="1" pivotButton="0" quotePrefix="0" xfId="0">
      <alignment horizontal="left" vertical="center" wrapText="1"/>
    </xf>
    <xf numFmtId="0" fontId="5" fillId="0" borderId="0" applyAlignment="1" pivotButton="0" quotePrefix="0" xfId="0">
      <alignment vertical="top"/>
    </xf>
    <xf numFmtId="0" fontId="6" fillId="0" borderId="0" applyAlignment="1" pivotButton="0" quotePrefix="0" xfId="0">
      <alignment horizontal="center" vertical="top"/>
    </xf>
    <xf numFmtId="0" fontId="1" fillId="7" borderId="1" applyAlignment="1" pivotButton="0" quotePrefix="0" xfId="0">
      <alignment horizontal="center" vertical="center" wrapText="1"/>
    </xf>
    <xf numFmtId="0" fontId="6" fillId="0" borderId="0" applyAlignment="1" pivotButton="0" quotePrefix="0" xfId="0">
      <alignment vertical="top"/>
    </xf>
    <xf numFmtId="0" fontId="6" fillId="0" borderId="0" applyAlignment="1" pivotButton="0" quotePrefix="0" xfId="0">
      <alignment vertical="top" wrapText="1"/>
    </xf>
    <xf numFmtId="0" fontId="5" fillId="0" borderId="0" applyAlignment="1" pivotButton="0" quotePrefix="0" xfId="0">
      <alignment vertical="top" wrapText="1"/>
    </xf>
    <xf numFmtId="0" fontId="1" fillId="8" borderId="1" applyAlignment="1" pivotButton="0" quotePrefix="0" xfId="0">
      <alignment horizontal="left" vertical="center"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4" fillId="0" borderId="2" applyAlignment="1" pivotButton="0" quotePrefix="0" xfId="0">
      <alignment horizontal="center" vertical="center" wrapText="1"/>
    </xf>
    <xf numFmtId="14" fontId="0"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7" fillId="0" borderId="2" applyAlignment="1" pivotButton="0" quotePrefix="0" xfId="1">
      <alignment horizontal="left" vertical="top" wrapText="1"/>
    </xf>
    <xf numFmtId="0" fontId="2" fillId="3" borderId="3" applyAlignment="1" pivotButton="0" quotePrefix="0" xfId="0">
      <alignment horizontal="center" vertical="center" wrapText="1"/>
    </xf>
    <xf numFmtId="0" fontId="2" fillId="3" borderId="3" applyAlignment="1" pivotButton="0" quotePrefix="0" xfId="0">
      <alignment horizontal="left" vertical="top" wrapText="1"/>
    </xf>
    <xf numFmtId="0" fontId="4" fillId="2" borderId="4" applyAlignment="1" pivotButton="0" quotePrefix="0" xfId="0">
      <alignment horizontal="center" vertical="center" wrapText="1"/>
    </xf>
    <xf numFmtId="0" fontId="4" fillId="4" borderId="4" applyAlignment="1" pivotButton="0" quotePrefix="0" xfId="0">
      <alignment horizontal="center" vertical="center" wrapText="1"/>
    </xf>
    <xf numFmtId="0" fontId="3" fillId="4" borderId="4" applyAlignment="1" pivotButton="0" quotePrefix="0" xfId="0">
      <alignment horizontal="center" vertical="center" wrapText="1"/>
    </xf>
    <xf numFmtId="0" fontId="4" fillId="4" borderId="4" applyAlignment="1" pivotButton="0" quotePrefix="0" xfId="0">
      <alignment horizontal="left" vertical="top" wrapText="1"/>
    </xf>
    <xf numFmtId="0" fontId="3" fillId="0" borderId="0" applyAlignment="1" pivotButton="0" quotePrefix="0" xfId="0">
      <alignment horizontal="center" vertical="center"/>
    </xf>
  </cellXfs>
  <cellStyles count="2">
    <cellStyle name="Normal" xfId="0" builtinId="0"/>
    <cellStyle name="Hyperlink" xfId="1" builtinId="8"/>
  </cellStyles>
  <dxfs count="15">
    <dxf>
      <fill>
        <patternFill/>
      </fill>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fgColor rgb="FFF2F2F2"/>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auto="1"/>
        </left>
      </border>
    </dxf>
    <dxf>
      <fill>
        <patternFill/>
      </fill>
    </dxf>
    <dxf>
      <font>
        <name val="Calibri"/>
        <charset val="1"/>
        <b val="1"/>
        <strike val="0"/>
        <outline val="0"/>
        <shadow val="0"/>
        <condense val="0"/>
        <color rgb="FFFFFFFF"/>
        <extend val="0"/>
        <sz val="11"/>
        <vertAlign val="baseline"/>
      </font>
      <fill>
        <patternFill patternType="solid">
          <fgColor rgb="FF969696"/>
          <bgColor rgb="FF5B9BD5"/>
        </patternFill>
      </fill>
      <alignment horizontal="center" vertical="center" wrapText="1"/>
      <border>
        <left style="thin">
          <color rgb="FF000000"/>
        </left>
        <right style="thin">
          <color rgb="FF000000"/>
        </right>
        <top/>
        <bottom/>
        <vertical style="thin">
          <color rgb="FF000000"/>
        </vertical>
        <horizontal style="thin">
          <color rgb="FF000000"/>
        </horizontal>
      </border>
    </dxf>
    <dxf>
      <font>
        <b val="1"/>
        <color theme="0"/>
      </font>
      <fill>
        <patternFill patternType="solid">
          <bgColor rgb="FF92D050"/>
        </patternFill>
      </fill>
    </dxf>
    <dxf>
      <font>
        <b val="1"/>
        <color theme="0"/>
      </font>
      <fill>
        <patternFill patternType="solid">
          <bgColor rgb="FF00206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5B9BD5"/>
      <rgbColor rgb="FF993366"/>
      <rgbColor rgb="FFFFF2CC"/>
      <rgbColor rgb="FFF2F2F2"/>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EDEDED"/>
      <rgbColor rgb="FFE7E6E6"/>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A2:J37" headerRowCount="1" totalsRowShown="0" headerRowDxfId="12" dataDxfId="11" tableBorderDxfId="10">
  <autoFilter ref="A2:J37"/>
  <tableColumns count="10">
    <tableColumn id="1" name="No." dataDxfId="9"/>
    <tableColumn id="2" name="Unidad" dataDxfId="8"/>
    <tableColumn id="3" name="Tema" dataDxfId="7"/>
    <tableColumn id="4" name="Horas" dataDxfId="6"/>
    <tableColumn id="5" name="No. de clase" dataDxfId="5"/>
    <tableColumn id="6" name="Profesor" dataDxfId="4"/>
    <tableColumn id="7" name="Día" dataDxfId="3"/>
    <tableColumn id="8" name="Fecha" dataDxfId="2"/>
    <tableColumn id="9" name="Asistente PAT" dataDxfId="1"/>
    <tableColumn id="10" name="Link de reunión" dataDxfId="0"/>
  </tableColumns>
  <tableStyleInfo name="TableStyleMedium20" showFirstColumn="0" showLastColumn="0" showRowStripes="1" showColumnStripes="0"/>
</table>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Q64"/>
  <sheetViews>
    <sheetView tabSelected="1" zoomScaleNormal="100" workbookViewId="0">
      <pane ySplit="2" topLeftCell="C3" activePane="bottomLeft" state="frozen"/>
      <selection pane="bottomLeft" activeCell="F3" sqref="F3"/>
    </sheetView>
  </sheetViews>
  <sheetFormatPr baseColWidth="8" defaultColWidth="11.42578125" defaultRowHeight="15" customHeight="1"/>
  <cols>
    <col width="6.5703125" customWidth="1" style="2" min="1" max="1"/>
    <col width="38" customWidth="1" style="2" min="2" max="2"/>
    <col width="68" customWidth="1" style="2" min="3" max="3"/>
    <col width="9" customWidth="1" min="4" max="4"/>
    <col width="14.140625" customWidth="1" min="5" max="5"/>
    <col width="30" customWidth="1" min="6" max="6"/>
    <col width="13" customWidth="1" min="7" max="8"/>
    <col width="15.28515625" customWidth="1" min="9" max="9"/>
    <col width="15.28515625" customWidth="1" style="27" min="10" max="10"/>
    <col width="18.5703125" customWidth="1" min="12" max="12"/>
    <col width="12.42578125" customWidth="1" min="13" max="13"/>
    <col width="32.85546875" customWidth="1" min="14" max="14"/>
  </cols>
  <sheetData>
    <row r="1" ht="14.25" customHeight="1">
      <c r="A1" s="3" t="n"/>
      <c r="B1" s="3" t="n"/>
      <c r="C1" s="3" t="n"/>
      <c r="D1" s="3" t="n"/>
      <c r="E1" s="3" t="n"/>
      <c r="F1" s="3" t="n"/>
      <c r="G1" s="3" t="n"/>
      <c r="H1" s="3" t="n"/>
      <c r="I1" s="3" t="n"/>
      <c r="J1" s="26" t="n"/>
      <c r="K1" s="3" t="n"/>
      <c r="L1" s="3" t="n"/>
      <c r="M1" s="3" t="n"/>
      <c r="N1" s="3" t="n"/>
      <c r="O1" s="3" t="n"/>
      <c r="P1" s="3" t="n"/>
      <c r="Q1" s="3" t="n"/>
    </row>
    <row r="2" ht="21.75" customHeight="1">
      <c r="A2" s="35" t="inlineStr">
        <is>
          <t>No.</t>
        </is>
      </c>
      <c r="B2" s="35" t="inlineStr">
        <is>
          <t>Unidad</t>
        </is>
      </c>
      <c r="C2" s="35" t="inlineStr">
        <is>
          <t>Tema</t>
        </is>
      </c>
      <c r="D2" s="35" t="inlineStr">
        <is>
          <t>Horas</t>
        </is>
      </c>
      <c r="E2" s="35" t="inlineStr">
        <is>
          <t>No. de clase</t>
        </is>
      </c>
      <c r="F2" s="35" t="inlineStr">
        <is>
          <t>Profesor</t>
        </is>
      </c>
      <c r="G2" s="35" t="inlineStr">
        <is>
          <t>Día</t>
        </is>
      </c>
      <c r="H2" s="35" t="inlineStr">
        <is>
          <t>Fecha</t>
        </is>
      </c>
      <c r="I2" s="35" t="inlineStr">
        <is>
          <t>Asistente PAT</t>
        </is>
      </c>
      <c r="J2" s="36" t="inlineStr">
        <is>
          <t>Link de reunión</t>
        </is>
      </c>
      <c r="K2" s="3" t="n"/>
      <c r="L2" s="41" t="n"/>
      <c r="M2" s="3" t="n"/>
      <c r="N2" s="3" t="n"/>
      <c r="O2" s="3" t="n"/>
      <c r="P2" s="3" t="n"/>
      <c r="Q2" s="3" t="n"/>
    </row>
    <row r="3" ht="66" customHeight="1">
      <c r="A3" s="28" t="n">
        <v>1</v>
      </c>
      <c r="B3" s="28" t="inlineStr">
        <is>
          <t>CONTEXTO GENERAL DE LA AMENAZA DE LA CORRUPCIÓN</t>
        </is>
      </c>
      <c r="C3" s="29" t="inlineStr">
        <is>
          <t>Breve historia de las herramientas de lucha contra la corrupción
Diferentes aproximaciones al vocablo corrupción
Convenciones internacionales de lucha contra la corrupción</t>
        </is>
      </c>
      <c r="D3" s="28" t="n">
        <v>3</v>
      </c>
      <c r="E3" s="30" t="inlineStr">
        <is>
          <t>CLASE 1</t>
        </is>
      </c>
      <c r="F3" s="29" t="inlineStr">
        <is>
          <t>Marta Lucia Ramírez</t>
        </is>
      </c>
      <c r="G3" s="28" t="inlineStr">
        <is>
          <t>Jueves</t>
        </is>
      </c>
      <c r="H3" s="31" t="n">
        <v>46296</v>
      </c>
      <c r="I3" s="31" t="inlineStr">
        <is>
          <t>Jenier Sebastián Achury Gómez</t>
        </is>
      </c>
      <c r="J3" s="34" t="inlineStr">
        <is>
          <t>https://teams.microsoft.com/meet/EJEMPLO</t>
        </is>
      </c>
      <c r="K3" s="3" t="n"/>
      <c r="L3" s="41" t="n"/>
      <c r="M3" s="41" t="n"/>
      <c r="N3" s="41" t="n"/>
      <c r="O3" s="3" t="n"/>
      <c r="P3" s="3" t="n"/>
      <c r="Q3" s="3" t="n"/>
    </row>
    <row r="4" ht="246" customHeight="1">
      <c r="A4" s="28" t="n">
        <v>2</v>
      </c>
      <c r="B4" s="28" t="inlineStr">
        <is>
          <t>SISTEMA DE GESTIÓN DE RIESGOS</t>
        </is>
      </c>
      <c r="C4" s="29" t="inlineStr">
        <is>
          <t>Aspectos generales de la gestión y mitigación del Riesgo de lavado. Revisión de sistemas de administración y gestión integral de riesgos.
¿Cuál es la estructura básica y las etapas de un modelo de Sistema de administración de riesgos de lavado de activos?
¿Cómo se elabora el diagnóstico de riesgos?
¿Qué se debe tener en cuenta para realizar un mapa de riesgos tanto para el sector público como privado?
Contexto interno y externo, identificación y clases de riesgos, control y manejo del riesgo.
Guías de mapa de riesgos de la Secretaría de Transparencia de la Presidencia de la República y de UNODC.</t>
        </is>
      </c>
      <c r="D4" s="28" t="n">
        <v>3</v>
      </c>
      <c r="E4" s="30" t="inlineStr">
        <is>
          <t>CLASE 2</t>
        </is>
      </c>
      <c r="F4" s="29" t="inlineStr">
        <is>
          <t>SABANA</t>
        </is>
      </c>
      <c r="G4" s="28" t="inlineStr">
        <is>
          <t>Viernes</t>
        </is>
      </c>
      <c r="H4" s="31" t="n">
        <v>46297</v>
      </c>
      <c r="I4" s="31" t="inlineStr">
        <is>
          <t>Fabián Alberto Córdoba Almendrales</t>
        </is>
      </c>
      <c r="J4" s="34" t="inlineStr">
        <is>
          <t>https://teams.microsoft.com/meet/EJEMPLO</t>
        </is>
      </c>
      <c r="K4" s="3" t="n"/>
      <c r="L4" s="3" t="n"/>
      <c r="M4" s="3" t="n"/>
      <c r="N4" s="3" t="n"/>
      <c r="O4" s="3" t="n"/>
      <c r="P4" s="3" t="n"/>
      <c r="Q4" s="3" t="n"/>
    </row>
    <row r="5" ht="246" customHeight="1">
      <c r="A5" s="28" t="n">
        <v>3</v>
      </c>
      <c r="B5" s="28" t="inlineStr">
        <is>
          <t>SISTEMA DE GESTIÓN DE RIESGOS</t>
        </is>
      </c>
      <c r="C5" s="29" t="inlineStr">
        <is>
          <t>Aspectos generales de la gestión y mitigación del Riesgo de lavado. Revisión de sistemas de administración y gestión integral de riesgos.
¿Cuál es la estructura básica y las etapas de un modelo de Sistema de administración de riesgos de lavado de activos?
¿Cómo se elabora el diagnóstico de riesgos?
¿Qué se debe tener en cuenta para realizar un mapa de riesgos tanto para el sector público como privado?
Contexto interno y externo, identificación y clases de riesgos, control y manejo del riesgo.
Guías de mapa de riesgos de la Secretaría de Transparencia de la Presidencia de la República y de UNODC.</t>
        </is>
      </c>
      <c r="D5" s="28" t="n">
        <v>3</v>
      </c>
      <c r="E5" s="30" t="inlineStr">
        <is>
          <t>CLASE 3</t>
        </is>
      </c>
      <c r="F5" s="29" t="inlineStr">
        <is>
          <t>SABANA</t>
        </is>
      </c>
      <c r="G5" s="28" t="inlineStr">
        <is>
          <t>Martes</t>
        </is>
      </c>
      <c r="H5" s="31" t="n">
        <v>46301</v>
      </c>
      <c r="I5" s="31" t="inlineStr">
        <is>
          <t>Fabián Alberto Córdoba Almendrales</t>
        </is>
      </c>
      <c r="J5" s="34" t="inlineStr">
        <is>
          <t>https://teams.microsoft.com/meet/EJEMPLO</t>
        </is>
      </c>
      <c r="K5" s="3" t="n"/>
      <c r="L5" s="3" t="n"/>
      <c r="M5" s="4" t="n"/>
      <c r="N5" s="3" t="n"/>
      <c r="O5" s="3" t="n"/>
      <c r="P5" s="3" t="n"/>
      <c r="Q5" s="3" t="n"/>
    </row>
    <row r="6" ht="246" customHeight="1">
      <c r="A6" s="28" t="n">
        <v>4</v>
      </c>
      <c r="B6" s="28" t="inlineStr">
        <is>
          <t>SISTEMA DE GESTIÓN DE RIESGOS</t>
        </is>
      </c>
      <c r="C6" s="29" t="inlineStr">
        <is>
          <t>Aspectos generales de la gestión y mitigación del Riesgo de lavado. Revisión de sistemas de administración y gestión integral de riesgos.
¿Cuál es la estructura básica y las etapas de un modelo de Sistema de administración de riesgos de lavado de activos?
¿Cómo se elabora el diagnóstico de riesgos?
¿Qué se debe tener en cuenta para realizar un mapa de riesgos tanto para el sector público como privado?
Contexto interno y externo, identificación y clases de riesgos, control y manejo del riesgo.
Guías de mapa de riesgos de la Secretaría de Transparencia de la Presidencia de la República y de UNODC.</t>
        </is>
      </c>
      <c r="D6" s="28" t="n">
        <v>3</v>
      </c>
      <c r="E6" s="30" t="inlineStr">
        <is>
          <t>CLASE 4</t>
        </is>
      </c>
      <c r="F6" s="29" t="inlineStr">
        <is>
          <t>SABANA</t>
        </is>
      </c>
      <c r="G6" s="28" t="inlineStr">
        <is>
          <t>Miércoles</t>
        </is>
      </c>
      <c r="H6" s="31" t="n">
        <v>46302</v>
      </c>
      <c r="I6" s="31" t="inlineStr">
        <is>
          <t>Fabián Alberto Córdoba Almendrales</t>
        </is>
      </c>
      <c r="J6" s="34" t="inlineStr">
        <is>
          <t>https://teams.microsoft.com/meet/EJEMPLO</t>
        </is>
      </c>
      <c r="K6" s="3" t="n"/>
      <c r="L6" s="3" t="n"/>
      <c r="M6" s="3" t="n"/>
      <c r="N6" s="3" t="n"/>
      <c r="O6" s="3" t="n"/>
      <c r="P6" s="3" t="n"/>
      <c r="Q6" s="3" t="n"/>
    </row>
    <row r="7" ht="246" customHeight="1">
      <c r="A7" s="28" t="n">
        <v>5</v>
      </c>
      <c r="B7" s="28" t="inlineStr">
        <is>
          <t>SISTEMA DE GESTIÓN DE RIESGOS</t>
        </is>
      </c>
      <c r="C7" s="29" t="inlineStr">
        <is>
          <t>Aspectos generales de la gestión y mitigación del Riesgo de lavado. Revisión de sistemas de administración y gestión integral de riesgos.
¿Cuál es la estructura básica y las etapas de un modelo de Sistema de administración de riesgos de lavado de activos?
¿Cómo se elabora el diagnóstico de riesgos?
¿Qué se debe tener en cuenta para realizar un mapa de riesgos tanto para el sector público como privado?
Contexto interno y externo, identificación y clases de riesgos, control y manejo del riesgo.
Guías de mapa de riesgos de la Secretaría de Transparencia de la Presidencia de la República y de UNODC.</t>
        </is>
      </c>
      <c r="D7" s="28" t="n">
        <v>3</v>
      </c>
      <c r="E7" s="30" t="inlineStr">
        <is>
          <t>CLASE 5</t>
        </is>
      </c>
      <c r="F7" s="29" t="inlineStr">
        <is>
          <t>SABANA</t>
        </is>
      </c>
      <c r="G7" s="28" t="inlineStr">
        <is>
          <t>Jueves</t>
        </is>
      </c>
      <c r="H7" s="31" t="n">
        <v>46303</v>
      </c>
      <c r="I7" s="31" t="inlineStr">
        <is>
          <t>Jenier Sebastián Achury Gómez</t>
        </is>
      </c>
      <c r="J7" s="34" t="inlineStr">
        <is>
          <t>https://teams.microsoft.com/meet/EJEMPLO</t>
        </is>
      </c>
      <c r="K7" s="3" t="n"/>
      <c r="L7" s="3" t="n"/>
      <c r="M7" s="4" t="n"/>
      <c r="N7" s="3" t="n"/>
      <c r="O7" s="3" t="n"/>
      <c r="P7" s="3" t="n"/>
      <c r="Q7" s="3" t="n"/>
    </row>
    <row r="8" ht="111" customHeight="1">
      <c r="A8" s="28" t="n">
        <v>6</v>
      </c>
      <c r="B8" s="28" t="inlineStr">
        <is>
          <t>EL OFICIAL DE CUMPLIMIENTO Y LA JUNTA DIRECTIVA</t>
        </is>
      </c>
      <c r="C8" s="29" t="inlineStr">
        <is>
          <t>Funciones.
Aspectos legales y corporativos.
Perfil del oficial de cumplimiento.
Obligaciones.
Responsabilidades.
Rol en el sistema.
La confidencialidad del ROS, revelación (tipping-off).</t>
        </is>
      </c>
      <c r="D8" s="28" t="n">
        <v>3</v>
      </c>
      <c r="E8" s="30" t="inlineStr">
        <is>
          <t>CLASE 6</t>
        </is>
      </c>
      <c r="F8" s="29" t="inlineStr">
        <is>
          <t>SABANA</t>
        </is>
      </c>
      <c r="G8" s="28" t="inlineStr">
        <is>
          <t>Viernes</t>
        </is>
      </c>
      <c r="H8" s="31" t="n">
        <v>46304</v>
      </c>
      <c r="I8" s="31" t="inlineStr">
        <is>
          <t>Fabián Alberto Córdoba Almendrales</t>
        </is>
      </c>
      <c r="J8" s="34" t="inlineStr">
        <is>
          <t>https://teams.microsoft.com/meet/EJEMPLO</t>
        </is>
      </c>
      <c r="K8" s="3" t="n"/>
      <c r="L8" s="3" t="n"/>
      <c r="M8" s="3" t="n"/>
      <c r="N8" s="3" t="n"/>
      <c r="O8" s="3" t="n"/>
      <c r="P8" s="3" t="n"/>
      <c r="Q8" s="3" t="n"/>
    </row>
    <row r="9" ht="51" customHeight="1">
      <c r="A9" s="28" t="n">
        <v>7</v>
      </c>
      <c r="B9" s="28" t="inlineStr">
        <is>
          <t>TRANSPARENCIA EN LA CONTRATACIÓN</t>
        </is>
      </c>
      <c r="C9" s="29" t="inlineStr">
        <is>
          <t>Esquemas de anti-fraude en la contratación pública en Colombia, Banco Mundial (BM) y Banco Interamericano de Desarrollo (BID).</t>
        </is>
      </c>
      <c r="D9" s="28" t="n">
        <v>3</v>
      </c>
      <c r="E9" s="30" t="inlineStr">
        <is>
          <t>CLASE 7</t>
        </is>
      </c>
      <c r="F9" s="29" t="inlineStr">
        <is>
          <t>Felipe Ortegón</t>
        </is>
      </c>
      <c r="G9" s="28" t="inlineStr">
        <is>
          <t>Martes</t>
        </is>
      </c>
      <c r="H9" s="31" t="n">
        <v>46308</v>
      </c>
      <c r="I9" s="31" t="inlineStr">
        <is>
          <t>Fabián Alberto Córdoba Almendrales</t>
        </is>
      </c>
      <c r="J9" s="34" t="inlineStr">
        <is>
          <t>https://teams.microsoft.com/meet/EJEMPLO</t>
        </is>
      </c>
      <c r="K9" s="3" t="n"/>
      <c r="L9" s="3" t="n"/>
      <c r="M9" s="5" t="n"/>
      <c r="N9" s="3" t="n"/>
      <c r="O9" s="3" t="n"/>
      <c r="P9" s="3" t="n"/>
      <c r="Q9" s="3" t="n"/>
    </row>
    <row r="10" ht="66" customHeight="1">
      <c r="A10" s="28" t="n">
        <v>8</v>
      </c>
      <c r="B10" s="28" t="inlineStr">
        <is>
          <t>CONTEXTO GENERAL DE LA AMENAZA DE LA CORRUPCIÓN</t>
        </is>
      </c>
      <c r="C10" s="29" t="inlineStr">
        <is>
          <t>Actores, roles y responsabilidades de sistema de lucha anti-corrupción en Colombia. (Procuraduría, Fiscalía y Contraloría)
Secretaría de Transparencia
Mecanismos de Prevención.</t>
        </is>
      </c>
      <c r="D10" s="28" t="n">
        <v>3</v>
      </c>
      <c r="E10" s="30" t="inlineStr">
        <is>
          <t>CLASE 8</t>
        </is>
      </c>
      <c r="F10" s="29" t="inlineStr">
        <is>
          <t>Beatriz Londoño P</t>
        </is>
      </c>
      <c r="G10" s="28" t="inlineStr">
        <is>
          <t>Miércoles</t>
        </is>
      </c>
      <c r="H10" s="31" t="n">
        <v>46309</v>
      </c>
      <c r="I10" s="31" t="inlineStr">
        <is>
          <t>Fabián Alberto Córdoba Almendrales</t>
        </is>
      </c>
      <c r="J10" s="34" t="inlineStr">
        <is>
          <t>https://teams.microsoft.com/meet/EJEMPLO</t>
        </is>
      </c>
      <c r="K10" s="3" t="n"/>
      <c r="L10" s="3" t="n"/>
      <c r="M10" s="3" t="n"/>
      <c r="N10" s="3" t="n"/>
      <c r="O10" s="3" t="n"/>
      <c r="P10" s="3" t="n"/>
      <c r="Q10" s="3" t="n"/>
    </row>
    <row r="11" ht="36" customHeight="1">
      <c r="A11" s="28" t="n">
        <v>9</v>
      </c>
      <c r="B11" s="28" t="inlineStr">
        <is>
          <t>CONTEXTO GENERAL DE LA AMENAZA DE LA CORRUPCIÓN</t>
        </is>
      </c>
      <c r="C11" s="29" t="inlineStr">
        <is>
          <t>Leyes nacionales relacionadas con la lucha anticorrupción y la Ley 2195 de 2022.</t>
        </is>
      </c>
      <c r="D11" s="28" t="n">
        <v>3</v>
      </c>
      <c r="E11" s="30" t="inlineStr">
        <is>
          <t>CLASE 9</t>
        </is>
      </c>
      <c r="F11" s="29" t="inlineStr">
        <is>
          <t>Beatriz Londoño P</t>
        </is>
      </c>
      <c r="G11" s="28" t="inlineStr">
        <is>
          <t>Jueves</t>
        </is>
      </c>
      <c r="H11" s="31" t="n">
        <v>46310</v>
      </c>
      <c r="I11" s="31" t="inlineStr">
        <is>
          <t>Jenier Sebastián Achury Gómez</t>
        </is>
      </c>
      <c r="J11" s="34" t="inlineStr">
        <is>
          <t>https://teams.microsoft.com/meet/EJEMPLO</t>
        </is>
      </c>
      <c r="K11" s="3" t="n"/>
      <c r="L11" s="3" t="n"/>
      <c r="M11" s="3" t="n"/>
      <c r="N11" s="3" t="n"/>
      <c r="O11" s="3" t="n"/>
      <c r="P11" s="3" t="n"/>
      <c r="Q11" s="3" t="n"/>
    </row>
    <row r="12" ht="51" customHeight="1">
      <c r="A12" s="28" t="n">
        <v>10</v>
      </c>
      <c r="B12" s="28" t="inlineStr">
        <is>
          <t>EVOLUCIÓN Y MARCO NORMATIVO DEL COMPLIANCE
EN EEUU</t>
        </is>
      </c>
      <c r="C12" s="29" t="inlineStr">
        <is>
          <t>Evolución y surgimiento en EE. UU. del compliance empresarial.</t>
        </is>
      </c>
      <c r="D12" s="28" t="n">
        <v>3</v>
      </c>
      <c r="E12" s="30" t="inlineStr">
        <is>
          <t>CLASE 10</t>
        </is>
      </c>
      <c r="F12" s="29" t="inlineStr">
        <is>
          <t>Mery Mantilla</t>
        </is>
      </c>
      <c r="G12" s="28" t="inlineStr">
        <is>
          <t>Martes</t>
        </is>
      </c>
      <c r="H12" s="31" t="n">
        <v>46315</v>
      </c>
      <c r="I12" s="31" t="inlineStr">
        <is>
          <t>Fabián Alberto Córdoba Almendrales</t>
        </is>
      </c>
      <c r="J12" s="34" t="inlineStr">
        <is>
          <t>https://teams.microsoft.com/meet/EJEMPLO</t>
        </is>
      </c>
      <c r="K12" s="3" t="n"/>
      <c r="L12" s="3" t="n"/>
      <c r="M12" s="3" t="n"/>
      <c r="N12" s="3" t="n"/>
      <c r="O12" s="3" t="n"/>
      <c r="P12" s="3" t="n"/>
      <c r="Q12" s="3" t="n"/>
    </row>
    <row r="13" ht="51" customHeight="1">
      <c r="A13" s="28" t="n">
        <v>11</v>
      </c>
      <c r="B13" s="28" t="inlineStr">
        <is>
          <t>EVOLUCIÓN Y MARCO NORMATIVO DEL COMPLIANCE
EN EEUU</t>
        </is>
      </c>
      <c r="C13" s="29" t="inlineStr">
        <is>
          <t>Casos de estudio.</t>
        </is>
      </c>
      <c r="D13" s="28" t="n">
        <v>3</v>
      </c>
      <c r="E13" s="30" t="inlineStr">
        <is>
          <t>CLASE 11</t>
        </is>
      </c>
      <c r="F13" s="29" t="inlineStr">
        <is>
          <t>Mery Mantilla</t>
        </is>
      </c>
      <c r="G13" s="28" t="inlineStr">
        <is>
          <t>Miércoles</t>
        </is>
      </c>
      <c r="H13" s="31" t="n">
        <v>46316</v>
      </c>
      <c r="I13" s="31" t="inlineStr">
        <is>
          <t>Fabián Alberto Córdoba Almendrales</t>
        </is>
      </c>
      <c r="J13" s="34" t="inlineStr">
        <is>
          <t>https://teams.microsoft.com/meet/EJEMPLO</t>
        </is>
      </c>
      <c r="K13" s="3" t="n"/>
      <c r="L13" s="3" t="n"/>
      <c r="M13" s="4" t="n"/>
      <c r="N13" s="3" t="n"/>
      <c r="O13" s="3" t="n"/>
      <c r="P13" s="3" t="n"/>
      <c r="Q13" s="3" t="n"/>
    </row>
    <row r="14" ht="51" customHeight="1">
      <c r="A14" s="28" t="n">
        <v>12</v>
      </c>
      <c r="B14" s="28" t="inlineStr">
        <is>
          <t>CONTEXTO GENERAL DE LA AMENAZA Y DEL LAVADO DE ACTIVOS Y EL MARCO NORMATIVO APLICADO PARA ENFRENTARLA</t>
        </is>
      </c>
      <c r="C14" s="29" t="inlineStr">
        <is>
          <t>Breve historia de la lucha contra el lavado de activos
Marco normativo Internacional</t>
        </is>
      </c>
      <c r="D14" s="28" t="n">
        <v>3</v>
      </c>
      <c r="E14" s="30" t="inlineStr">
        <is>
          <t>CLASE 12</t>
        </is>
      </c>
      <c r="F14" s="29" t="inlineStr">
        <is>
          <t>Marta Lucia Ramírez</t>
        </is>
      </c>
      <c r="G14" s="28" t="inlineStr">
        <is>
          <t>Jueves</t>
        </is>
      </c>
      <c r="H14" s="31" t="n">
        <v>46317</v>
      </c>
      <c r="I14" s="31" t="inlineStr">
        <is>
          <t>Jenier Sebastián Achury Gómez</t>
        </is>
      </c>
      <c r="J14" s="34" t="inlineStr">
        <is>
          <t>https://teams.microsoft.com/meet/EJEMPLO</t>
        </is>
      </c>
      <c r="K14" s="3" t="n"/>
      <c r="L14" s="3" t="n"/>
      <c r="M14" s="3" t="n"/>
      <c r="N14" s="3" t="n"/>
      <c r="O14" s="3" t="n"/>
      <c r="P14" s="3" t="n"/>
      <c r="Q14" s="3" t="n"/>
    </row>
    <row r="15" ht="51" customHeight="1">
      <c r="A15" s="28" t="n">
        <v>13</v>
      </c>
      <c r="B15" s="28" t="inlineStr">
        <is>
          <t>CONTEXTO GENERAL DE LA AMENAZA Y DEL LAVADO DE ACTIVOS Y EL MARCO NORMATIVO APLICADO PARA ENFRENTARLA</t>
        </is>
      </c>
      <c r="C15" s="29" t="inlineStr">
        <is>
          <t>Marco normativo Nacional
40 Recomendaciones GAFI</t>
        </is>
      </c>
      <c r="D15" s="28" t="n">
        <v>3</v>
      </c>
      <c r="E15" s="30" t="inlineStr">
        <is>
          <t>CLASE 13</t>
        </is>
      </c>
      <c r="F15" s="29" t="inlineStr">
        <is>
          <t>Marta Lucia Ramírez</t>
        </is>
      </c>
      <c r="G15" s="28" t="inlineStr">
        <is>
          <t>Viernes</t>
        </is>
      </c>
      <c r="H15" s="31" t="n">
        <v>46318</v>
      </c>
      <c r="I15" s="31" t="inlineStr">
        <is>
          <t>Fabián Alberto Córdoba Almendrales</t>
        </is>
      </c>
      <c r="J15" s="34" t="inlineStr">
        <is>
          <t>https://teams.microsoft.com/meet/EJEMPLO</t>
        </is>
      </c>
      <c r="K15" s="3" t="n"/>
      <c r="L15" s="3" t="n"/>
      <c r="M15" s="3" t="n"/>
      <c r="N15" s="3" t="n"/>
      <c r="O15" s="3" t="n"/>
      <c r="P15" s="3" t="n"/>
      <c r="Q15" s="3" t="n"/>
    </row>
    <row r="16" ht="51" customHeight="1">
      <c r="A16" s="28" t="n">
        <v>14</v>
      </c>
      <c r="B16" s="28" t="inlineStr">
        <is>
          <t>CONTEXTO GENERAL DE LA AMENAZA Y DEL LAVADO DE ACTIVOS Y EL MARCO NORMATIVO APLICADO PARA ENFRENTARLA</t>
        </is>
      </c>
      <c r="C16" s="29" t="inlineStr">
        <is>
          <t>Efectos del Lavado de Activos, indicadores económicos y sociales</t>
        </is>
      </c>
      <c r="D16" s="28" t="n">
        <v>3</v>
      </c>
      <c r="E16" s="30" t="inlineStr">
        <is>
          <t>CLASE 14</t>
        </is>
      </c>
      <c r="F16" s="29" t="inlineStr">
        <is>
          <t>Marta Lucia Ramírez</t>
        </is>
      </c>
      <c r="G16" s="28" t="inlineStr">
        <is>
          <t>Martes</t>
        </is>
      </c>
      <c r="H16" s="31" t="n">
        <v>46322</v>
      </c>
      <c r="I16" s="31" t="inlineStr">
        <is>
          <t>Fabián Alberto Córdoba Almendrales</t>
        </is>
      </c>
      <c r="J16" s="34" t="inlineStr">
        <is>
          <t>https://teams.microsoft.com/meet/EJEMPLO</t>
        </is>
      </c>
      <c r="K16" s="3" t="n"/>
      <c r="L16" s="3" t="n"/>
      <c r="M16" s="3" t="n"/>
      <c r="N16" s="3" t="n"/>
      <c r="O16" s="3" t="n"/>
      <c r="P16" s="3" t="n"/>
      <c r="Q16" s="3" t="n"/>
    </row>
    <row r="17" ht="66" customHeight="1">
      <c r="A17" s="28" t="n">
        <v>15</v>
      </c>
      <c r="B17" s="28" t="inlineStr">
        <is>
          <t>CONTEXTO GENERAL DE LA AMENAZA DEL FINANCIAMIENTO DEL TERRORISMO Y DE LA PROLIFERACIÓN DE ARMAS DE DESTRUCCIÓN MASIVA</t>
        </is>
      </c>
      <c r="C17" s="29" t="inlineStr">
        <is>
          <t>El 911 y los cambios en la lucha contra el terrorismo
Marco internacional y nacional. Exigencias GAFI.</t>
        </is>
      </c>
      <c r="D17" s="28" t="n">
        <v>3</v>
      </c>
      <c r="E17" s="30" t="inlineStr">
        <is>
          <t>CLASE 15</t>
        </is>
      </c>
      <c r="F17" s="29" t="inlineStr">
        <is>
          <t>Marta Lucia Ramírez</t>
        </is>
      </c>
      <c r="G17" s="28" t="inlineStr">
        <is>
          <t>Miércoles</t>
        </is>
      </c>
      <c r="H17" s="31" t="n">
        <v>46323</v>
      </c>
      <c r="I17" s="31" t="inlineStr">
        <is>
          <t>Fabián Alberto Córdoba Almendrales</t>
        </is>
      </c>
      <c r="J17" s="34" t="inlineStr">
        <is>
          <t>https://teams.microsoft.com/meet/EJEMPLO</t>
        </is>
      </c>
      <c r="K17" s="3" t="n"/>
      <c r="L17" s="3" t="n"/>
      <c r="M17" s="3" t="n"/>
      <c r="N17" s="3" t="n"/>
      <c r="O17" s="3" t="n"/>
      <c r="P17" s="3" t="n"/>
      <c r="Q17" s="3" t="n"/>
    </row>
    <row r="18" ht="96" customHeight="1">
      <c r="A18" s="28" t="n">
        <v>16</v>
      </c>
      <c r="B18" s="28" t="inlineStr">
        <is>
          <t>HERRAMIENTAS Y CONTROLES ANTI- LAVADO Y ANTI-CORRUPCIÓN.</t>
        </is>
      </c>
      <c r="C18" s="29" t="inlineStr">
        <is>
          <t>Importancia del enfoque basado en riesgos.
Debida diligencia (simplificada y reforzada).  CASO
-Personas Expuestas Políticamente (PEP).       CASO
-Beneficiario final.                                        CASO
-Chequeo de listas (vinculantes y restrictivas).</t>
        </is>
      </c>
      <c r="D18" s="28" t="n">
        <v>3</v>
      </c>
      <c r="E18" s="30" t="inlineStr">
        <is>
          <t>CLASE 16</t>
        </is>
      </c>
      <c r="F18" s="29" t="inlineStr">
        <is>
          <t>Camilo Jaimes P</t>
        </is>
      </c>
      <c r="G18" s="28" t="inlineStr">
        <is>
          <t>Viernes</t>
        </is>
      </c>
      <c r="H18" s="31" t="n">
        <v>46325</v>
      </c>
      <c r="I18" s="31" t="inlineStr">
        <is>
          <t>Fabián Alberto Córdoba Almendrales</t>
        </is>
      </c>
      <c r="J18" s="34" t="inlineStr">
        <is>
          <t>https://teams.microsoft.com/meet/EJEMPLO</t>
        </is>
      </c>
      <c r="K18" s="3" t="n"/>
      <c r="L18" s="3" t="n"/>
      <c r="M18" s="3" t="n"/>
      <c r="N18" s="3" t="n"/>
      <c r="O18" s="3" t="n"/>
      <c r="P18" s="3" t="n"/>
      <c r="Q18" s="41" t="inlineStr">
        <is>
          <t>7 de abril</t>
        </is>
      </c>
    </row>
    <row r="19" ht="36" customHeight="1">
      <c r="A19" s="28" t="n">
        <v>17</v>
      </c>
      <c r="B19" s="28" t="inlineStr">
        <is>
          <t>HERRAMIENTAS Y CONTROLES ANTI- LAVADO Y ANTI-CORRUPCIÓN.</t>
        </is>
      </c>
      <c r="C19" s="29" t="n"/>
      <c r="D19" s="28" t="n">
        <v>3</v>
      </c>
      <c r="E19" s="30" t="inlineStr">
        <is>
          <t>CLASE 17</t>
        </is>
      </c>
      <c r="F19" s="29" t="inlineStr">
        <is>
          <t>Camilo Jaimes P</t>
        </is>
      </c>
      <c r="G19" s="28" t="inlineStr">
        <is>
          <t>Martes</t>
        </is>
      </c>
      <c r="H19" s="31" t="n">
        <v>46329</v>
      </c>
      <c r="I19" s="31" t="inlineStr">
        <is>
          <t>Fabián Alberto Córdoba Almendrales</t>
        </is>
      </c>
      <c r="J19" s="34" t="inlineStr">
        <is>
          <t>https://teams.microsoft.com/meet/EJEMPLO</t>
        </is>
      </c>
      <c r="K19" s="41" t="n"/>
      <c r="L19" s="3" t="n"/>
      <c r="M19" s="3" t="n"/>
      <c r="N19" s="3" t="n"/>
      <c r="O19" s="3" t="n"/>
      <c r="P19" s="3" t="n"/>
      <c r="Q19" s="41" t="inlineStr">
        <is>
          <t>8 de abril</t>
        </is>
      </c>
    </row>
    <row r="20" ht="36" customHeight="1">
      <c r="A20" s="28" t="n">
        <v>18</v>
      </c>
      <c r="B20" s="28" t="inlineStr">
        <is>
          <t>SEGMENTACIÓN PARA EL ANÁLISIS DE RIESGOS ALA/CFT.</t>
        </is>
      </c>
      <c r="C20" s="29" t="inlineStr">
        <is>
          <t>Se explicarán aspectos práctico – teóricos sobre segmentación de riesgos y realizará un taller práctico.</t>
        </is>
      </c>
      <c r="D20" s="28" t="n">
        <v>3</v>
      </c>
      <c r="E20" s="30" t="inlineStr">
        <is>
          <t>CLASE 18</t>
        </is>
      </c>
      <c r="F20" s="29" t="inlineStr">
        <is>
          <t>Wilson Gonzalez</t>
        </is>
      </c>
      <c r="G20" s="28" t="inlineStr">
        <is>
          <t>Miércoles</t>
        </is>
      </c>
      <c r="H20" s="31" t="n">
        <v>46330</v>
      </c>
      <c r="I20" s="31" t="inlineStr">
        <is>
          <t>Fabián Alberto Córdoba Almendrales</t>
        </is>
      </c>
      <c r="J20" s="34" t="inlineStr">
        <is>
          <t>https://teams.microsoft.com/meet/EJEMPLO</t>
        </is>
      </c>
      <c r="K20" s="41" t="n"/>
      <c r="L20" s="3" t="n"/>
      <c r="M20" s="3" t="n"/>
      <c r="N20" s="3" t="n"/>
      <c r="O20" s="3" t="n"/>
      <c r="P20" s="3" t="n"/>
      <c r="Q20" s="3" t="n"/>
    </row>
    <row r="21" ht="36" customHeight="1">
      <c r="A21" s="28" t="n">
        <v>19</v>
      </c>
      <c r="B21" s="28" t="inlineStr">
        <is>
          <t>SEGMENTACIÓN PARA EL ANÁLISIS DE RIESGOS ALA/CFT.</t>
        </is>
      </c>
      <c r="C21" s="29" t="n"/>
      <c r="D21" s="28" t="n">
        <v>3</v>
      </c>
      <c r="E21" s="30" t="inlineStr">
        <is>
          <t>CLASE 19</t>
        </is>
      </c>
      <c r="F21" s="29" t="inlineStr">
        <is>
          <t>Wilson Gonzalez</t>
        </is>
      </c>
      <c r="G21" s="28" t="inlineStr">
        <is>
          <t>Jueves</t>
        </is>
      </c>
      <c r="H21" s="31" t="n">
        <v>46331</v>
      </c>
      <c r="I21" s="31" t="inlineStr">
        <is>
          <t>Jenier Sebastián Achury Gómez</t>
        </is>
      </c>
      <c r="J21" s="34" t="inlineStr">
        <is>
          <t>https://teams.microsoft.com/meet/EJEMPLO</t>
        </is>
      </c>
      <c r="K21" s="41" t="n"/>
      <c r="L21" s="3" t="n"/>
      <c r="M21" s="3" t="n"/>
      <c r="N21" s="3" t="n"/>
      <c r="O21" s="3" t="n"/>
      <c r="P21" s="3" t="n"/>
      <c r="Q21" s="3" t="n"/>
    </row>
    <row r="22" ht="36" customHeight="1">
      <c r="A22" s="28" t="n">
        <v>20</v>
      </c>
      <c r="B22" s="28" t="inlineStr">
        <is>
          <t>TALLER SEGMENTACIÓN</t>
        </is>
      </c>
      <c r="C22" s="29" t="inlineStr">
        <is>
          <t>segmentación de riesgos</t>
        </is>
      </c>
      <c r="D22" s="28" t="n">
        <v>3</v>
      </c>
      <c r="E22" s="30" t="inlineStr">
        <is>
          <t>CLASE 20</t>
        </is>
      </c>
      <c r="F22" s="29" t="inlineStr">
        <is>
          <t>Wilson Gonzalez</t>
        </is>
      </c>
      <c r="G22" s="28" t="inlineStr">
        <is>
          <t>Viernes</t>
        </is>
      </c>
      <c r="H22" s="31" t="n">
        <v>46332</v>
      </c>
      <c r="I22" s="31" t="inlineStr">
        <is>
          <t>Fabián Alberto Córdoba Almendrales</t>
        </is>
      </c>
      <c r="J22" s="34" t="inlineStr">
        <is>
          <t>https://teams.microsoft.com/meet/EJEMPLO</t>
        </is>
      </c>
      <c r="K22" s="3" t="n"/>
      <c r="L22" s="3" t="n"/>
      <c r="M22" s="3" t="n"/>
      <c r="N22" s="3" t="n"/>
      <c r="O22" s="3" t="n"/>
      <c r="P22" s="3" t="n"/>
      <c r="Q22" s="3" t="n"/>
    </row>
    <row r="23" ht="96" customHeight="1">
      <c r="A23" s="28" t="n">
        <v>21</v>
      </c>
      <c r="B23" s="28" t="inlineStr">
        <is>
          <t>CANALES DE DENUNCIA, INVESTIGACIONES INTERNAS Y PROTECCIÓN A DENUNCIANTES</t>
        </is>
      </c>
      <c r="C23" s="29" t="inlineStr">
        <is>
          <t>Canales de denuncia.                                                                            
Recepción y elementos mínimos de una denuncia. 
Evaluación e investigación de los hechos expuestos. CASO
Procesos internos. 
Políticas de protección a denunciantes.</t>
        </is>
      </c>
      <c r="D23" s="28" t="n">
        <v>3</v>
      </c>
      <c r="E23" s="30" t="inlineStr">
        <is>
          <t>CLASE 21</t>
        </is>
      </c>
      <c r="F23" s="29" t="inlineStr">
        <is>
          <t>Camilo Jaimes P</t>
        </is>
      </c>
      <c r="G23" s="28" t="inlineStr">
        <is>
          <t>Martes</t>
        </is>
      </c>
      <c r="H23" s="31" t="n">
        <v>46336</v>
      </c>
      <c r="I23" s="31" t="inlineStr">
        <is>
          <t>Fabián Alberto Córdoba Almendrales</t>
        </is>
      </c>
      <c r="J23" s="34" t="inlineStr">
        <is>
          <t>https://teams.microsoft.com/meet/EJEMPLO</t>
        </is>
      </c>
      <c r="K23" s="41" t="n"/>
      <c r="L23" s="3" t="n"/>
      <c r="M23" s="3" t="n"/>
      <c r="N23" s="3" t="n"/>
      <c r="O23" s="3" t="n"/>
      <c r="P23" s="3" t="n"/>
      <c r="Q23" s="3" t="n"/>
    </row>
    <row r="24" ht="51" customHeight="1">
      <c r="A24" s="28" t="n">
        <v>22</v>
      </c>
      <c r="B24" s="28" t="inlineStr">
        <is>
          <t>CANALES DE DENUNCIA, INVESTIGACIONES INTERNAS Y PROTECCIÓN A DENUNCIANTES</t>
        </is>
      </c>
      <c r="C24" s="29" t="n"/>
      <c r="D24" s="32" t="n">
        <v>3</v>
      </c>
      <c r="E24" s="30" t="inlineStr">
        <is>
          <t>CLASE 22</t>
        </is>
      </c>
      <c r="F24" s="29" t="inlineStr">
        <is>
          <t>Camilo Jaimes P</t>
        </is>
      </c>
      <c r="G24" s="28" t="inlineStr">
        <is>
          <t>Miércoles</t>
        </is>
      </c>
      <c r="H24" s="31" t="n">
        <v>46337</v>
      </c>
      <c r="I24" s="31" t="inlineStr">
        <is>
          <t>Fabián Alberto Córdoba Almendrales</t>
        </is>
      </c>
      <c r="J24" s="34" t="inlineStr">
        <is>
          <t>https://teams.microsoft.com/meet/EJEMPLO</t>
        </is>
      </c>
      <c r="K24" s="3" t="n"/>
      <c r="L24" s="3" t="n"/>
      <c r="M24" s="3" t="n"/>
      <c r="N24" s="3" t="n"/>
      <c r="O24" s="3" t="n"/>
      <c r="P24" s="3" t="n"/>
      <c r="Q24" s="3" t="n"/>
    </row>
    <row r="25" ht="66" customHeight="1">
      <c r="A25" s="28" t="n">
        <v>23</v>
      </c>
      <c r="B25" s="28" t="inlineStr">
        <is>
          <t>PROGRAMAS DE TRANSPARENCIA Y ÉTICA PÚBLICA Y EMPRESARIAL</t>
        </is>
      </c>
      <c r="C25" s="29" t="inlineStr">
        <is>
          <t>Ley 2195 de 2022 y decreto reglamentario. Sector público y privado.
Parámetros de la Superfinanciera y Supersociedades para la revisión de los programas de administración de riesgos.</t>
        </is>
      </c>
      <c r="D25" s="32" t="n">
        <v>3</v>
      </c>
      <c r="E25" s="30" t="inlineStr">
        <is>
          <t>CLASE 23</t>
        </is>
      </c>
      <c r="F25" s="29" t="inlineStr">
        <is>
          <t>Marta Lucia Ramírez y Beatriz Londoño P</t>
        </is>
      </c>
      <c r="G25" s="28" t="inlineStr">
        <is>
          <t>Jueves</t>
        </is>
      </c>
      <c r="H25" s="31" t="n">
        <v>46338</v>
      </c>
      <c r="I25" s="31" t="inlineStr">
        <is>
          <t>Jenier Sebastián Achury Gómez</t>
        </is>
      </c>
      <c r="J25" s="34" t="inlineStr">
        <is>
          <t>https://teams.microsoft.com/meet/EJEMPLO</t>
        </is>
      </c>
      <c r="K25" s="3" t="n"/>
      <c r="L25" s="3" t="n"/>
      <c r="M25" s="3" t="n"/>
      <c r="N25" s="3" t="n"/>
      <c r="O25" s="3" t="n"/>
      <c r="P25" s="3" t="n"/>
      <c r="Q25" s="3" t="n"/>
    </row>
    <row r="26" ht="51" customHeight="1">
      <c r="A26" s="28" t="n">
        <v>24</v>
      </c>
      <c r="B26" s="28" t="inlineStr">
        <is>
          <t>BIG DATA Y ANALÍTICA EN LA GESTIÓN DEL RIESGO ANTILAVADO Y ANTICORRUPCIÓN</t>
        </is>
      </c>
      <c r="C26" s="29" t="inlineStr">
        <is>
          <t>Fundamentos teóricos y prácticos sobre la utilización y empleo de big data, analítica y redes en la gestión del riesgo ALA/CFT</t>
        </is>
      </c>
      <c r="D26" s="28" t="n">
        <v>3</v>
      </c>
      <c r="E26" s="33" t="inlineStr">
        <is>
          <t>CLASE 24</t>
        </is>
      </c>
      <c r="F26" s="29" t="inlineStr">
        <is>
          <t>Sebastián Villegas</t>
        </is>
      </c>
      <c r="G26" s="28" t="inlineStr">
        <is>
          <t>Martes</t>
        </is>
      </c>
      <c r="H26" s="31" t="n">
        <v>46343</v>
      </c>
      <c r="I26" s="31" t="inlineStr">
        <is>
          <t>Fabián Alberto Córdoba Almendrales</t>
        </is>
      </c>
      <c r="J26" s="34" t="inlineStr">
        <is>
          <t>https://teams.microsoft.com/meet/EJEMPLO</t>
        </is>
      </c>
      <c r="K26" s="3" t="n"/>
      <c r="L26" s="8" t="n"/>
      <c r="M26" s="3" t="n"/>
      <c r="N26" s="3" t="n"/>
      <c r="O26" s="3" t="n"/>
      <c r="P26" s="3" t="n"/>
      <c r="Q26" s="3" t="n"/>
    </row>
    <row r="27" ht="51" customHeight="1">
      <c r="A27" s="28" t="n">
        <v>25</v>
      </c>
      <c r="B27" s="28" t="inlineStr">
        <is>
          <t>BIG DATA Y ANALÍTICA EN LA GESTIÓN DEL RIESGO ANTILAVADO Y ANTICORRUPCIÓN</t>
        </is>
      </c>
      <c r="C27" s="29" t="n"/>
      <c r="D27" s="28" t="n">
        <v>3</v>
      </c>
      <c r="E27" s="33" t="inlineStr">
        <is>
          <t>CLASE 25</t>
        </is>
      </c>
      <c r="F27" s="29" t="inlineStr">
        <is>
          <t>Sebastián Villegas</t>
        </is>
      </c>
      <c r="G27" s="28" t="inlineStr">
        <is>
          <t>Miércoles</t>
        </is>
      </c>
      <c r="H27" s="31" t="n">
        <v>46344</v>
      </c>
      <c r="I27" s="31" t="inlineStr">
        <is>
          <t>Fabián Alberto Córdoba Almendrales</t>
        </is>
      </c>
      <c r="J27" s="34" t="inlineStr">
        <is>
          <t>https://teams.microsoft.com/meet/EJEMPLO</t>
        </is>
      </c>
      <c r="K27" s="3" t="n"/>
      <c r="L27" s="3" t="n"/>
      <c r="M27" s="3" t="n"/>
      <c r="N27" s="3" t="n"/>
      <c r="O27" s="3" t="n"/>
      <c r="P27" s="3" t="n"/>
      <c r="Q27" s="3" t="n"/>
    </row>
    <row r="28" ht="51" customHeight="1">
      <c r="A28" s="28" t="n">
        <v>26</v>
      </c>
      <c r="B28" s="28" t="inlineStr">
        <is>
          <t>BIG DATA Y ANALÍTICA EN LA GESTIÓN DEL RIESGO ANTILAVADO Y ANTICORRUPCIÓN</t>
        </is>
      </c>
      <c r="C28" s="29" t="n"/>
      <c r="D28" s="28" t="n">
        <v>3</v>
      </c>
      <c r="E28" s="33" t="inlineStr">
        <is>
          <t>CLASE 26</t>
        </is>
      </c>
      <c r="F28" s="29" t="inlineStr">
        <is>
          <t>Sebastián Villegas</t>
        </is>
      </c>
      <c r="G28" s="28" t="inlineStr">
        <is>
          <t>Jueves</t>
        </is>
      </c>
      <c r="H28" s="31" t="n">
        <v>46345</v>
      </c>
      <c r="I28" s="31" t="inlineStr">
        <is>
          <t>Jenier Sebastián Achury Gómez</t>
        </is>
      </c>
      <c r="J28" s="34" t="inlineStr">
        <is>
          <t>https://teams.microsoft.com/meet/EJEMPLO</t>
        </is>
      </c>
      <c r="K28" s="3" t="n"/>
      <c r="L28" s="3" t="n"/>
      <c r="M28" s="3" t="n"/>
      <c r="N28" s="3" t="n"/>
      <c r="O28" s="3" t="n"/>
      <c r="P28" s="3" t="n"/>
      <c r="Q28" s="3" t="n"/>
    </row>
    <row r="29" ht="96" customHeight="1">
      <c r="A29" s="28" t="n">
        <v>27</v>
      </c>
      <c r="B29" s="28" t="inlineStr">
        <is>
          <t>TALLERES PRÁCTICOS SOBRE CASUISTICA, TIPOLOGÍAS DE LAVADO, CORRUPCIÓN, USO DE NUEVAS TECNOLOGÍAS Y METODOLOGÍAS DE CASOS PARA ANALIZAR MODALIDADES DE CORRUPCIÓN y LAVADO DE ACTIVOS</t>
        </is>
      </c>
      <c r="C29" s="29" t="inlineStr">
        <is>
          <t>Explicación y estudio del caso de DMG</t>
        </is>
      </c>
      <c r="D29" s="28" t="n">
        <v>3</v>
      </c>
      <c r="E29" s="33" t="inlineStr">
        <is>
          <t>CLASE 27</t>
        </is>
      </c>
      <c r="F29" s="29" t="inlineStr">
        <is>
          <t>Beatriz Londoño P</t>
        </is>
      </c>
      <c r="G29" s="28" t="inlineStr">
        <is>
          <t>Viernes</t>
        </is>
      </c>
      <c r="H29" s="31" t="n">
        <v>46346</v>
      </c>
      <c r="I29" s="31" t="inlineStr">
        <is>
          <t>Fabián Alberto Córdoba Almendrales</t>
        </is>
      </c>
      <c r="J29" s="34" t="inlineStr">
        <is>
          <t>https://teams.microsoft.com/meet/EJEMPLO</t>
        </is>
      </c>
      <c r="K29" s="3" t="n"/>
      <c r="L29" s="3" t="n"/>
      <c r="M29" s="3" t="n"/>
      <c r="N29" s="3" t="n"/>
      <c r="O29" s="3" t="n"/>
      <c r="P29" s="3" t="n"/>
      <c r="Q29" s="3" t="n"/>
    </row>
    <row r="30" ht="96" customHeight="1">
      <c r="A30" s="28" t="n">
        <v>28</v>
      </c>
      <c r="B30" s="28" t="inlineStr">
        <is>
          <t>TALLERES PRÁCTICOS SOBRE CASUISTICA, TIPOLOGÍAS DE LAVADO, CORRUPCIÓN, USO DE NUEVAS TECNOLOGÍAS Y METODOLOGÍAS DE CASOS PARA ANALIZAR MODALIDADES DE CORRUPCIÓN y LAVADO DE ACTIVOS</t>
        </is>
      </c>
      <c r="C30" s="29" t="inlineStr">
        <is>
          <t>Explicación de caso de Lavado de Activos y principales tipologías de lavado.</t>
        </is>
      </c>
      <c r="D30" s="28" t="n">
        <v>3</v>
      </c>
      <c r="E30" s="33" t="inlineStr">
        <is>
          <t>CLASE 28</t>
        </is>
      </c>
      <c r="F30" s="29" t="inlineStr">
        <is>
          <t>Pablo Latorre</t>
        </is>
      </c>
      <c r="G30" s="28" t="inlineStr">
        <is>
          <t>Martes</t>
        </is>
      </c>
      <c r="H30" s="31" t="n">
        <v>46350</v>
      </c>
      <c r="I30" s="31" t="inlineStr">
        <is>
          <t>Fabián Alberto Córdoba Almendrales</t>
        </is>
      </c>
      <c r="J30" s="34" t="inlineStr">
        <is>
          <t>https://teams.microsoft.com/meet/EJEMPLO</t>
        </is>
      </c>
      <c r="K30" s="3" t="n"/>
      <c r="L30" s="3" t="n"/>
      <c r="M30" s="3" t="n"/>
      <c r="N30" s="3" t="n"/>
      <c r="O30" s="3" t="n"/>
      <c r="P30" s="3" t="n"/>
      <c r="Q30" s="3" t="n"/>
    </row>
    <row r="31" ht="96" customHeight="1">
      <c r="A31" s="28" t="n">
        <v>29</v>
      </c>
      <c r="B31" s="28" t="inlineStr">
        <is>
          <t>TALLERES PRÁCTICOS SOBRE CASUISTICA, TIPOLOGÍAS DE LAVADO, CORRUPCIÓN, USO DE NUEVAS TECNOLOGÍAS Y METODOLOGÍAS DE CASOS PARA ANALIZAR MODALIDADES DE CORRUPCIÓN y LAVADO DE ACTIVOS</t>
        </is>
      </c>
      <c r="C31" s="29" t="inlineStr">
        <is>
          <t>Explicación y estudio del caso Lava Jato Y Odebrecht</t>
        </is>
      </c>
      <c r="D31" s="28" t="n">
        <v>3</v>
      </c>
      <c r="E31" s="33" t="inlineStr">
        <is>
          <t>CLASE 29</t>
        </is>
      </c>
      <c r="F31" s="29" t="inlineStr">
        <is>
          <t>Camilo Jaimes P</t>
        </is>
      </c>
      <c r="G31" s="28" t="inlineStr">
        <is>
          <t>Miércoles</t>
        </is>
      </c>
      <c r="H31" s="31" t="n">
        <v>46351</v>
      </c>
      <c r="I31" s="31" t="inlineStr">
        <is>
          <t>Fabián Alberto Córdoba Almendrales</t>
        </is>
      </c>
      <c r="J31" s="34" t="inlineStr">
        <is>
          <t>https://teams.microsoft.com/meet/EJEMPLO</t>
        </is>
      </c>
      <c r="K31" s="3" t="n"/>
      <c r="L31" s="3" t="n"/>
      <c r="M31" s="3" t="n"/>
      <c r="N31" s="3" t="n"/>
      <c r="O31" s="3" t="n"/>
      <c r="P31" s="3" t="n"/>
      <c r="Q31" s="3" t="n"/>
    </row>
    <row r="32" ht="96" customHeight="1">
      <c r="A32" s="28" t="n">
        <v>30</v>
      </c>
      <c r="B32" s="28" t="inlineStr">
        <is>
          <t>TALLERES PRÁCTICOS SOBRE CASUISTICA, TIPOLOGÍAS DE LAVADO, CORRUPCIÓN, USO DE NUEVAS TECNOLOGÍAS Y METODOLOGÍAS DE CASOS PARA ANALIZAR MODALIDADES DE CORRUPCIÓN y LAVADO DE ACTIVOS</t>
        </is>
      </c>
      <c r="C32" s="29" t="inlineStr">
        <is>
          <t>Caso práctico y simulación de roles</t>
        </is>
      </c>
      <c r="D32" s="28" t="n">
        <v>3</v>
      </c>
      <c r="E32" s="33" t="inlineStr">
        <is>
          <t>CLASE 30</t>
        </is>
      </c>
      <c r="F32" s="29" t="inlineStr">
        <is>
          <t>Marta Lucia Ramírez y Beatriz Londoño P</t>
        </is>
      </c>
      <c r="G32" s="28" t="inlineStr">
        <is>
          <t>Jueves</t>
        </is>
      </c>
      <c r="H32" s="31" t="n">
        <v>46352</v>
      </c>
      <c r="I32" s="31" t="inlineStr">
        <is>
          <t>Jenier Sebastián Achury Gómez</t>
        </is>
      </c>
      <c r="J32" s="34" t="inlineStr">
        <is>
          <t>https://teams.microsoft.com/meet/EJEMPLO</t>
        </is>
      </c>
      <c r="K32" s="3" t="n"/>
      <c r="L32" s="3" t="n"/>
      <c r="M32" s="3" t="n"/>
      <c r="N32" s="3" t="n"/>
      <c r="O32" s="3" t="n"/>
      <c r="P32" s="3" t="n"/>
      <c r="Q32" s="3" t="n"/>
    </row>
    <row r="33" ht="96" customHeight="1">
      <c r="A33" s="28" t="n">
        <v>31</v>
      </c>
      <c r="B33" s="28" t="inlineStr">
        <is>
          <t>TALLERES PRÁCTICOS SOBRE CASUISTICA, TIPOLOGÍAS DE LAVADO, CORRUPCIÓN, USO DE NUEVAS TECNOLOGÍAS Y METODOLOGÍAS DE CASOS PARA ANALIZAR MODALIDADES DE CORRUPCIÓN y LAVADO DE ACTIVOS</t>
        </is>
      </c>
      <c r="C33" s="29" t="inlineStr">
        <is>
          <t>Caso práctico y simulación de roles</t>
        </is>
      </c>
      <c r="D33" s="28" t="n">
        <v>3</v>
      </c>
      <c r="E33" s="33" t="inlineStr">
        <is>
          <t>CLASE 31</t>
        </is>
      </c>
      <c r="F33" s="29" t="inlineStr">
        <is>
          <t>Camilo Jaimes P</t>
        </is>
      </c>
      <c r="G33" s="28" t="inlineStr">
        <is>
          <t>Viernes</t>
        </is>
      </c>
      <c r="H33" s="31" t="n">
        <v>46353</v>
      </c>
      <c r="I33" s="31" t="inlineStr">
        <is>
          <t>Fabián Alberto Córdoba Almendrales</t>
        </is>
      </c>
      <c r="J33" s="34" t="inlineStr">
        <is>
          <t>https://teams.microsoft.com/meet/EJEMPLO</t>
        </is>
      </c>
      <c r="K33" s="3" t="n"/>
      <c r="L33" s="3" t="n"/>
      <c r="M33" s="3" t="n"/>
      <c r="N33" s="3" t="n"/>
      <c r="O33" s="3" t="n"/>
      <c r="P33" s="3" t="n"/>
      <c r="Q33" s="3" t="n"/>
    </row>
    <row r="34" ht="51" customHeight="1">
      <c r="A34" s="28" t="n">
        <v>32</v>
      </c>
      <c r="B34" s="28" t="inlineStr">
        <is>
          <t>LOS REPORTES INTERNOS DE OPERACIONES INUSUALES Y LOS REPORTES EXTERNOS DE OPERACIONES SOSPECHOSAS (ROS)</t>
        </is>
      </c>
      <c r="C34" s="29" t="inlineStr">
        <is>
          <t>Taller teórico - práctico sobre reportes internos de inusualidades y Reportes de Operaciones Sospechosas (ROS) a la UIAF</t>
        </is>
      </c>
      <c r="D34" s="28" t="n">
        <v>3</v>
      </c>
      <c r="E34" s="33" t="inlineStr">
        <is>
          <t>CLASE 32</t>
        </is>
      </c>
      <c r="F34" s="29" t="inlineStr">
        <is>
          <t>Angélica Sánchez Durán</t>
        </is>
      </c>
      <c r="G34" s="28" t="inlineStr">
        <is>
          <t>Martes</t>
        </is>
      </c>
      <c r="H34" s="31" t="n">
        <v>46357</v>
      </c>
      <c r="I34" s="31" t="inlineStr">
        <is>
          <t>Fabián Alberto Córdoba Almendrales</t>
        </is>
      </c>
      <c r="J34" s="34" t="inlineStr">
        <is>
          <t>https://teams.microsoft.com/meet/EJEMPLO</t>
        </is>
      </c>
      <c r="K34" s="3" t="n"/>
      <c r="L34" s="3" t="n"/>
      <c r="M34" s="3" t="n"/>
      <c r="N34" s="3" t="n"/>
      <c r="O34" s="3" t="n"/>
      <c r="P34" s="3" t="n"/>
      <c r="Q34" s="3" t="n"/>
    </row>
    <row r="35" ht="36" customHeight="1">
      <c r="A35" s="28" t="n">
        <v>33</v>
      </c>
      <c r="B35" s="28" t="inlineStr">
        <is>
          <t>NEUROSCIENCIA, ÉTICA Y COMPLIANCE</t>
        </is>
      </c>
      <c r="C35" s="29" t="inlineStr">
        <is>
          <t>Cerebro, neuronas espejo, teoría de la mente y enfoque racional de las herramientas anti-corrupción.</t>
        </is>
      </c>
      <c r="D35" s="28" t="n">
        <v>3</v>
      </c>
      <c r="E35" s="33" t="inlineStr">
        <is>
          <t>CLASE 33</t>
        </is>
      </c>
      <c r="F35" s="29" t="inlineStr">
        <is>
          <t>Camilo Jaimes P</t>
        </is>
      </c>
      <c r="G35" s="28" t="inlineStr">
        <is>
          <t>Miércoles</t>
        </is>
      </c>
      <c r="H35" s="31" t="n">
        <v>46358</v>
      </c>
      <c r="I35" s="31" t="inlineStr">
        <is>
          <t>Fabián Alberto Córdoba Almendrales</t>
        </is>
      </c>
      <c r="J35" s="34" t="inlineStr">
        <is>
          <t>https://teams.microsoft.com/meet/EJEMPLO</t>
        </is>
      </c>
      <c r="K35" s="3" t="n"/>
      <c r="L35" s="3" t="n"/>
      <c r="M35" s="3" t="n"/>
      <c r="N35" s="3" t="n"/>
      <c r="O35" s="3" t="n"/>
      <c r="P35" s="3" t="n"/>
      <c r="Q35" s="3" t="n"/>
    </row>
    <row r="36" ht="36" customHeight="1">
      <c r="A36" s="28" t="n">
        <v>34</v>
      </c>
      <c r="B36" s="28" t="inlineStr">
        <is>
          <t>ÉTICA DEL COMPORTAMIENTO COMO BASE DE LOS PROGRAMAS CUMPLIMIENTO</t>
        </is>
      </c>
      <c r="C36" s="29" t="inlineStr">
        <is>
          <t>Cultura de la integridad y del cumplimiento.</t>
        </is>
      </c>
      <c r="D36" s="28" t="n">
        <v>3</v>
      </c>
      <c r="E36" s="33" t="inlineStr">
        <is>
          <t>CLASE 34</t>
        </is>
      </c>
      <c r="F36" s="29" t="inlineStr">
        <is>
          <t>Andrés Murcia</t>
        </is>
      </c>
      <c r="G36" s="28" t="inlineStr">
        <is>
          <t>Jueves</t>
        </is>
      </c>
      <c r="H36" s="31" t="n">
        <v>46359</v>
      </c>
      <c r="I36" s="31" t="inlineStr">
        <is>
          <t>Jenier Sebastián Achury Gómez</t>
        </is>
      </c>
      <c r="J36" s="34" t="inlineStr">
        <is>
          <t>https://teams.microsoft.com/meet/EJEMPLO</t>
        </is>
      </c>
      <c r="K36" s="3" t="n"/>
      <c r="L36" s="3" t="n"/>
      <c r="M36" s="3" t="n"/>
      <c r="N36" s="3" t="n"/>
      <c r="O36" s="3" t="n"/>
      <c r="P36" s="3" t="n"/>
      <c r="Q36" s="3" t="n"/>
    </row>
    <row r="37" ht="36" customHeight="1">
      <c r="A37" s="28" t="n">
        <v>35</v>
      </c>
      <c r="B37" s="28" t="inlineStr">
        <is>
          <t>ÉTICA DEL COMPORTAMIENTO COMO BASE DE LOS PROGRAMAS CUMPLIMIENTO</t>
        </is>
      </c>
      <c r="C37" s="29" t="inlineStr">
        <is>
          <t>Taller Cultura de la Integridad</t>
        </is>
      </c>
      <c r="D37" s="28" t="n">
        <v>3</v>
      </c>
      <c r="E37" s="33" t="inlineStr">
        <is>
          <t>CLASE 35</t>
        </is>
      </c>
      <c r="F37" s="29" t="inlineStr">
        <is>
          <t>Camilo Jaimes P</t>
        </is>
      </c>
      <c r="G37" s="28" t="inlineStr">
        <is>
          <t>Viernes</t>
        </is>
      </c>
      <c r="H37" s="31" t="n">
        <v>46360</v>
      </c>
      <c r="I37" s="31" t="inlineStr">
        <is>
          <t>Fabián Alberto Córdoba Almendrales</t>
        </is>
      </c>
      <c r="J37" s="34" t="inlineStr">
        <is>
          <t>https://teams.microsoft.com/meet/EJEMPLO</t>
        </is>
      </c>
      <c r="K37" s="3" t="n"/>
      <c r="L37" s="3" t="n"/>
      <c r="M37" s="3" t="n"/>
      <c r="N37" s="3" t="n"/>
      <c r="O37" s="3" t="n"/>
      <c r="P37" s="3" t="n"/>
      <c r="Q37" s="3" t="n"/>
    </row>
    <row r="38" ht="21.75" customHeight="1">
      <c r="A38" s="37" t="n"/>
      <c r="B38" s="38" t="inlineStr">
        <is>
          <t>TOTAL</t>
        </is>
      </c>
      <c r="C38" s="38" t="n"/>
      <c r="D38" s="39">
        <f>SUM(D3:D37)</f>
        <v/>
      </c>
      <c r="E38" s="38" t="n"/>
      <c r="F38" s="38" t="n"/>
      <c r="G38" s="38" t="n"/>
      <c r="H38" s="38" t="n"/>
      <c r="I38" s="38" t="n"/>
      <c r="J38" s="40" t="n"/>
      <c r="K38" s="3" t="n"/>
      <c r="L38" s="10" t="n"/>
      <c r="M38" s="3" t="n"/>
      <c r="N38" s="3" t="n"/>
      <c r="O38" s="3" t="n"/>
      <c r="P38" s="3" t="n"/>
      <c r="Q38" s="3" t="n"/>
    </row>
    <row r="39" ht="14.25" customHeight="1">
      <c r="A39" s="10" t="n"/>
      <c r="B39" s="8" t="n"/>
      <c r="C39" s="3" t="n"/>
      <c r="D39" s="10" t="n"/>
      <c r="E39" s="41" t="n"/>
      <c r="F39" s="3" t="n"/>
      <c r="G39" s="41" t="n"/>
      <c r="H39" s="3" t="n"/>
      <c r="I39" s="3" t="n"/>
      <c r="J39" s="26" t="n"/>
      <c r="K39" s="3" t="n"/>
      <c r="L39" s="3" t="n"/>
      <c r="M39" s="3" t="n"/>
      <c r="N39" s="3" t="n"/>
      <c r="O39" s="3" t="n"/>
      <c r="P39" s="3" t="n"/>
      <c r="Q39" s="3" t="n"/>
    </row>
    <row r="40" ht="14.25" customHeight="1">
      <c r="A40" s="10" t="n"/>
      <c r="B40" s="8" t="n"/>
      <c r="C40" s="3" t="n"/>
      <c r="D40" s="10" t="n"/>
      <c r="E40" s="41" t="n"/>
      <c r="F40" s="3" t="n"/>
      <c r="G40" s="41" t="n"/>
      <c r="H40" s="3" t="n"/>
      <c r="I40" s="3" t="n"/>
      <c r="J40" s="26" t="n"/>
      <c r="K40" s="3" t="n"/>
      <c r="L40" s="3" t="n"/>
      <c r="M40" s="3" t="n"/>
      <c r="N40" s="3" t="n"/>
      <c r="O40" s="3" t="n"/>
      <c r="P40" s="3" t="n"/>
      <c r="Q40" s="3" t="n"/>
    </row>
    <row r="41" ht="14.25" customHeight="1">
      <c r="A41" s="10" t="n"/>
      <c r="B41" s="8" t="n"/>
      <c r="C41" s="3" t="n"/>
      <c r="D41" s="11" t="n"/>
      <c r="E41" s="41" t="n"/>
      <c r="F41" s="3" t="n"/>
      <c r="G41" s="41" t="n"/>
      <c r="H41" s="3" t="n"/>
      <c r="I41" s="3" t="n"/>
      <c r="J41" s="26" t="n"/>
      <c r="K41" s="3" t="n"/>
      <c r="L41" s="10" t="n"/>
      <c r="M41" s="3" t="n"/>
      <c r="N41" s="3" t="n"/>
      <c r="O41" s="3" t="n"/>
      <c r="P41" s="3" t="n"/>
      <c r="Q41" s="3" t="n"/>
    </row>
    <row r="42" ht="29.25" customHeight="1">
      <c r="A42" s="10" t="n"/>
      <c r="B42" s="8" t="n"/>
      <c r="C42" s="3" t="n"/>
      <c r="D42" s="11" t="n"/>
      <c r="E42" s="41" t="n"/>
      <c r="F42" s="3" t="n"/>
      <c r="G42" s="41" t="n"/>
      <c r="H42" s="3" t="n"/>
      <c r="I42" s="3" t="n"/>
      <c r="J42" s="26" t="n"/>
      <c r="K42" s="3" t="n"/>
      <c r="L42" s="3" t="n"/>
      <c r="M42" s="3" t="n"/>
      <c r="N42" s="3" t="n"/>
      <c r="O42" s="3" t="n"/>
      <c r="P42" s="3" t="n"/>
      <c r="Q42" s="3" t="n"/>
    </row>
    <row r="43" ht="14.25" customHeight="1">
      <c r="A43" s="10" t="n"/>
      <c r="B43" s="8" t="n"/>
      <c r="C43" s="3" t="n"/>
      <c r="D43" s="10" t="n"/>
      <c r="E43" s="41" t="n"/>
      <c r="F43" s="3" t="n"/>
      <c r="G43" s="41" t="n"/>
      <c r="H43" s="3" t="n"/>
      <c r="I43" s="3" t="n"/>
      <c r="J43" s="26" t="n"/>
      <c r="K43" s="3" t="n"/>
      <c r="L43" s="3" t="n"/>
      <c r="M43" s="3" t="n"/>
      <c r="N43" s="3" t="n"/>
      <c r="O43" s="3" t="n"/>
      <c r="P43" s="3" t="n"/>
      <c r="Q43" s="3" t="n"/>
    </row>
    <row r="44" ht="33.75" customHeight="1">
      <c r="A44" s="10" t="n"/>
      <c r="B44" s="3" t="n"/>
      <c r="C44" s="8" t="n"/>
      <c r="D44" s="10" t="n"/>
      <c r="E44" s="41" t="n"/>
      <c r="F44" s="10" t="n"/>
      <c r="G44" s="41" t="n"/>
      <c r="H44" s="3" t="n"/>
      <c r="I44" s="3" t="n"/>
      <c r="J44" s="26" t="n"/>
      <c r="K44" s="3" t="n"/>
      <c r="L44" s="10" t="n"/>
      <c r="M44" s="3" t="n"/>
      <c r="N44" s="3" t="n"/>
      <c r="O44" s="3" t="n"/>
      <c r="P44" s="3" t="n"/>
      <c r="Q44" s="3" t="n"/>
    </row>
    <row r="45" ht="14.25" customHeight="1">
      <c r="A45" s="10" t="n"/>
      <c r="B45" s="3" t="n"/>
      <c r="C45" s="8" t="n"/>
      <c r="D45" s="10" t="n"/>
      <c r="E45" s="41" t="n"/>
      <c r="F45" s="10" t="n"/>
      <c r="G45" s="41" t="n"/>
      <c r="H45" s="3" t="n"/>
      <c r="I45" s="3" t="n"/>
      <c r="J45" s="26" t="n"/>
      <c r="K45" s="3" t="n"/>
      <c r="L45" s="10" t="n"/>
      <c r="M45" s="3" t="n"/>
      <c r="N45" s="3" t="n"/>
      <c r="O45" s="3" t="n"/>
      <c r="P45" s="3" t="n"/>
      <c r="Q45" s="3" t="n"/>
    </row>
    <row r="46" ht="14.25" customHeight="1">
      <c r="A46" s="12" t="n"/>
      <c r="B46" s="12" t="n"/>
      <c r="C46" s="13" t="n"/>
      <c r="D46" s="41" t="n"/>
      <c r="E46" s="3" t="n"/>
      <c r="F46" s="3" t="n"/>
      <c r="G46" s="3" t="n"/>
      <c r="H46" s="3" t="n"/>
      <c r="I46" s="3" t="n"/>
      <c r="J46" s="26" t="n"/>
      <c r="K46" s="3" t="n"/>
      <c r="L46" s="3" t="n"/>
      <c r="M46" s="3" t="n"/>
      <c r="N46" s="3" t="n"/>
      <c r="O46" s="3" t="n"/>
      <c r="P46" s="3" t="n"/>
      <c r="Q46" s="3" t="n"/>
    </row>
    <row r="47" ht="14.25" customHeight="1">
      <c r="A47" s="3" t="n"/>
      <c r="B47" s="3" t="n"/>
      <c r="C47" s="13" t="n"/>
      <c r="D47" s="3" t="n"/>
      <c r="E47" s="3" t="n"/>
      <c r="F47" s="3" t="n"/>
      <c r="G47" s="3" t="n"/>
      <c r="H47" s="3" t="n"/>
      <c r="I47" s="3" t="n"/>
      <c r="J47" s="26" t="n"/>
      <c r="K47" s="3" t="n"/>
      <c r="L47" s="10" t="n"/>
      <c r="M47" s="3" t="n"/>
      <c r="N47" s="3" t="n"/>
      <c r="O47" s="3" t="n"/>
      <c r="P47" s="3" t="n"/>
      <c r="Q47" s="3" t="n"/>
    </row>
    <row r="48" ht="14.25" customHeight="1">
      <c r="A48" s="3" t="n"/>
      <c r="B48" s="3" t="n"/>
      <c r="C48" s="3" t="n"/>
      <c r="D48" s="3" t="n"/>
      <c r="E48" s="3" t="n"/>
      <c r="F48" s="3" t="n"/>
      <c r="G48" s="3" t="n"/>
      <c r="H48" s="3" t="n"/>
      <c r="I48" s="3" t="n"/>
      <c r="J48" s="26" t="n"/>
      <c r="K48" s="3" t="n"/>
      <c r="L48" s="3" t="n"/>
      <c r="M48" s="3" t="n"/>
      <c r="N48" s="3" t="n"/>
      <c r="O48" s="3" t="n"/>
      <c r="P48" s="3" t="n"/>
      <c r="Q48" s="3" t="n"/>
    </row>
    <row r="49" ht="14.25" customHeight="1">
      <c r="A49" s="3" t="n"/>
      <c r="B49" s="3" t="n"/>
      <c r="C49" s="3" t="n"/>
      <c r="D49" s="3" t="n"/>
      <c r="E49" s="3" t="n"/>
      <c r="F49" s="3" t="n"/>
      <c r="G49" s="3" t="n"/>
      <c r="H49" s="3" t="n"/>
      <c r="I49" s="3" t="n"/>
      <c r="J49" s="26" t="n"/>
      <c r="K49" s="3" t="n"/>
      <c r="L49" s="10" t="n"/>
      <c r="M49" s="3" t="n"/>
      <c r="N49" s="3" t="n"/>
      <c r="O49" s="3" t="n"/>
      <c r="P49" s="3" t="n"/>
      <c r="Q49" s="3" t="n"/>
    </row>
    <row r="50" ht="14.25" customHeight="1">
      <c r="A50" s="41" t="n"/>
      <c r="B50" s="41" t="n"/>
      <c r="C50" s="41" t="n"/>
      <c r="D50" s="3" t="n"/>
      <c r="E50" s="3" t="n"/>
      <c r="F50" s="3" t="n"/>
      <c r="G50" s="3" t="n"/>
      <c r="H50" s="3" t="n"/>
      <c r="I50" s="3" t="n"/>
      <c r="J50" s="26" t="n"/>
      <c r="K50" s="3" t="n"/>
      <c r="L50" s="3" t="n"/>
      <c r="M50" s="3" t="n"/>
      <c r="N50" s="3" t="n"/>
      <c r="O50" s="3" t="n"/>
      <c r="P50" s="3" t="n"/>
      <c r="Q50" s="3" t="n"/>
    </row>
    <row r="51" ht="14.25" customHeight="1">
      <c r="A51" s="41" t="n"/>
      <c r="B51" s="41" t="n"/>
      <c r="C51" s="41" t="n"/>
      <c r="D51" s="3" t="n"/>
      <c r="E51" s="3" t="n"/>
      <c r="F51" s="3" t="n"/>
      <c r="G51" s="3" t="n"/>
      <c r="H51" s="3" t="n"/>
      <c r="I51" s="3" t="n"/>
      <c r="J51" s="26" t="n"/>
      <c r="K51" s="3" t="n"/>
      <c r="L51" s="3" t="n"/>
      <c r="M51" s="3" t="n"/>
      <c r="N51" s="3" t="n"/>
      <c r="O51" s="3" t="n"/>
      <c r="P51" s="3" t="n"/>
      <c r="Q51" s="3" t="n"/>
    </row>
    <row r="52" ht="23.25" customHeight="1">
      <c r="A52" s="10" t="n"/>
      <c r="B52" s="10" t="n"/>
      <c r="C52" s="3" t="n"/>
      <c r="D52" s="3" t="n"/>
      <c r="E52" s="3" t="n"/>
      <c r="F52" s="3" t="n"/>
      <c r="G52" s="3" t="n"/>
      <c r="H52" s="3" t="n"/>
      <c r="I52" s="3" t="n"/>
      <c r="J52" s="26" t="n"/>
      <c r="K52" s="3" t="n"/>
      <c r="L52" s="3" t="n"/>
      <c r="M52" s="3" t="n"/>
      <c r="N52" s="3" t="n"/>
      <c r="O52" s="3" t="n"/>
      <c r="P52" s="3" t="n"/>
      <c r="Q52" s="3" t="n"/>
    </row>
    <row r="53" ht="14.25" customHeight="1">
      <c r="A53" s="3" t="n"/>
      <c r="B53" s="10" t="n"/>
      <c r="C53" s="3" t="n"/>
      <c r="D53" s="3" t="n"/>
      <c r="E53" s="3" t="n"/>
      <c r="F53" s="3" t="n"/>
      <c r="G53" s="3" t="n"/>
      <c r="H53" s="3" t="n"/>
      <c r="I53" s="3" t="n"/>
      <c r="J53" s="26" t="n"/>
      <c r="K53" s="3" t="n"/>
      <c r="L53" s="3" t="n"/>
      <c r="M53" s="3" t="n"/>
      <c r="N53" s="3" t="n"/>
      <c r="O53" s="3" t="n"/>
      <c r="P53" s="3" t="n"/>
      <c r="Q53" s="3" t="n"/>
    </row>
    <row r="54" ht="14.25" customHeight="1">
      <c r="A54" s="3" t="n"/>
      <c r="B54" s="10" t="n"/>
      <c r="C54" s="3" t="n"/>
      <c r="D54" s="3" t="n"/>
      <c r="E54" s="3" t="n"/>
      <c r="F54" s="3" t="n"/>
      <c r="G54" s="3" t="n"/>
      <c r="H54" s="3" t="n"/>
      <c r="I54" s="3" t="n"/>
      <c r="J54" s="26" t="n"/>
      <c r="K54" s="3" t="n"/>
      <c r="L54" s="3" t="n"/>
      <c r="M54" s="3" t="n"/>
      <c r="N54" s="3" t="n"/>
      <c r="O54" s="3" t="n"/>
      <c r="P54" s="3" t="n"/>
      <c r="Q54" s="3" t="n"/>
    </row>
    <row r="55" ht="14.25" customHeight="1">
      <c r="A55" s="3" t="n"/>
      <c r="B55" s="10" t="n"/>
      <c r="C55" s="3" t="n"/>
      <c r="D55" s="3" t="n"/>
      <c r="E55" s="3" t="n"/>
      <c r="F55" s="3" t="n"/>
      <c r="G55" s="3" t="n"/>
      <c r="H55" s="3" t="n"/>
      <c r="I55" s="3" t="n"/>
      <c r="J55" s="26" t="n"/>
      <c r="K55" s="3" t="n"/>
      <c r="L55" s="3" t="n"/>
      <c r="M55" s="3" t="n"/>
      <c r="N55" s="3" t="n"/>
      <c r="O55" s="3" t="n"/>
      <c r="P55" s="3" t="n"/>
      <c r="Q55" s="3" t="n"/>
    </row>
    <row r="56" ht="14.25" customHeight="1">
      <c r="A56" s="3" t="n"/>
      <c r="B56" s="10" t="n"/>
      <c r="C56" s="3" t="n"/>
      <c r="D56" s="3" t="n"/>
      <c r="E56" s="3" t="n"/>
      <c r="F56" s="3" t="n"/>
      <c r="G56" s="3" t="n"/>
      <c r="H56" s="3" t="n"/>
      <c r="I56" s="3" t="n"/>
      <c r="J56" s="26" t="n"/>
      <c r="K56" s="3" t="n"/>
      <c r="L56" s="3" t="n"/>
      <c r="M56" s="3" t="n"/>
      <c r="N56" s="3" t="n"/>
      <c r="O56" s="3" t="n"/>
      <c r="P56" s="3" t="n"/>
      <c r="Q56" s="3" t="n"/>
    </row>
    <row r="57" ht="14.25" customHeight="1">
      <c r="A57" s="3" t="n"/>
      <c r="B57" s="11" t="n"/>
      <c r="C57" s="3" t="n"/>
      <c r="D57" s="3" t="n"/>
      <c r="E57" s="3" t="n"/>
      <c r="F57" s="3" t="n"/>
      <c r="G57" s="3" t="n"/>
      <c r="H57" s="3" t="n"/>
      <c r="I57" s="3" t="n"/>
      <c r="J57" s="26" t="n"/>
      <c r="K57" s="3" t="n"/>
      <c r="L57" s="3" t="n"/>
      <c r="M57" s="3" t="n"/>
      <c r="N57" s="3" t="n"/>
      <c r="O57" s="3" t="n"/>
      <c r="P57" s="3" t="n"/>
      <c r="Q57" s="3" t="n"/>
    </row>
    <row r="58" ht="14.25" customHeight="1">
      <c r="A58" s="3" t="n"/>
      <c r="B58" s="10" t="n"/>
      <c r="C58" s="3" t="n"/>
      <c r="D58" s="3" t="n"/>
      <c r="E58" s="3" t="n"/>
      <c r="F58" s="3" t="n"/>
      <c r="G58" s="3" t="n"/>
      <c r="H58" s="3" t="n"/>
      <c r="I58" s="3" t="n"/>
      <c r="J58" s="26" t="n"/>
      <c r="K58" s="3" t="n"/>
      <c r="L58" s="3" t="n"/>
      <c r="M58" s="3" t="n"/>
      <c r="N58" s="3" t="n"/>
      <c r="O58" s="3" t="n"/>
      <c r="P58" s="3" t="n"/>
      <c r="Q58" s="3" t="n"/>
    </row>
    <row r="59" ht="14.25" customHeight="1">
      <c r="A59" s="3" t="n"/>
      <c r="B59" s="10" t="n"/>
      <c r="C59" s="3" t="n"/>
      <c r="D59" s="3" t="n"/>
      <c r="E59" s="3" t="n"/>
      <c r="F59" s="3" t="n"/>
      <c r="G59" s="3" t="n"/>
      <c r="H59" s="3" t="n"/>
      <c r="I59" s="3" t="n"/>
      <c r="J59" s="26" t="n"/>
      <c r="K59" s="3" t="n"/>
      <c r="L59" s="3" t="n"/>
      <c r="M59" s="3" t="n"/>
      <c r="N59" s="3" t="n"/>
      <c r="O59" s="3" t="n"/>
      <c r="P59" s="3" t="n"/>
      <c r="Q59" s="3" t="n"/>
    </row>
    <row r="60" ht="14.25" customHeight="1">
      <c r="A60" s="3" t="n"/>
      <c r="B60" s="10" t="n"/>
      <c r="C60" s="3" t="n"/>
      <c r="D60" s="3" t="n"/>
      <c r="E60" s="3" t="n"/>
      <c r="F60" s="3" t="n"/>
      <c r="G60" s="3" t="n"/>
      <c r="H60" s="3" t="n"/>
      <c r="I60" s="3" t="n"/>
      <c r="J60" s="26" t="n"/>
      <c r="K60" s="3" t="n"/>
      <c r="L60" s="3" t="n"/>
      <c r="M60" s="3" t="n"/>
      <c r="N60" s="3" t="n"/>
      <c r="O60" s="3" t="n"/>
      <c r="P60" s="3" t="n"/>
      <c r="Q60" s="3" t="n"/>
    </row>
    <row r="61" ht="14.25" customHeight="1">
      <c r="A61" s="3" t="n"/>
      <c r="B61" s="10" t="n"/>
      <c r="C61" s="3" t="n"/>
      <c r="D61" s="3" t="n"/>
      <c r="E61" s="3" t="n"/>
      <c r="F61" s="3" t="n"/>
      <c r="G61" s="3" t="n"/>
      <c r="H61" s="3" t="n"/>
      <c r="I61" s="3" t="n"/>
      <c r="J61" s="26" t="n"/>
      <c r="K61" s="3" t="n"/>
      <c r="L61" s="3" t="n"/>
      <c r="M61" s="3" t="n"/>
      <c r="N61" s="3" t="n"/>
      <c r="O61" s="3" t="n"/>
      <c r="P61" s="3" t="n"/>
      <c r="Q61" s="3" t="n"/>
    </row>
    <row r="62" ht="14.25" customHeight="1">
      <c r="A62" s="10" t="n"/>
      <c r="B62" s="10" t="n"/>
      <c r="C62" s="3" t="n"/>
      <c r="D62" s="3" t="n"/>
      <c r="E62" s="3" t="n"/>
      <c r="F62" s="3" t="n"/>
      <c r="G62" s="3" t="n"/>
      <c r="H62" s="3" t="n"/>
      <c r="I62" s="3" t="n"/>
      <c r="J62" s="26" t="n"/>
      <c r="K62" s="3" t="n"/>
      <c r="L62" s="3" t="n"/>
      <c r="M62" s="3" t="n"/>
      <c r="N62" s="3" t="n"/>
      <c r="O62" s="3" t="n"/>
      <c r="P62" s="3" t="n"/>
      <c r="Q62" s="3" t="n"/>
    </row>
    <row r="63" ht="14.25" customHeight="1">
      <c r="A63" s="3" t="n"/>
      <c r="B63" s="14" t="n"/>
      <c r="C63" s="3" t="n"/>
      <c r="D63" s="3" t="n"/>
      <c r="E63" s="3" t="n"/>
      <c r="F63" s="3" t="n"/>
      <c r="G63" s="3" t="n"/>
      <c r="H63" s="3" t="n"/>
      <c r="I63" s="3" t="n"/>
      <c r="J63" s="26" t="n"/>
      <c r="K63" s="3" t="n"/>
      <c r="L63" s="3" t="n"/>
      <c r="M63" s="3" t="n"/>
      <c r="N63" s="3" t="n"/>
      <c r="O63" s="3" t="n"/>
      <c r="P63" s="3" t="n"/>
      <c r="Q63" s="3" t="n"/>
    </row>
    <row r="64" ht="14.25" customHeight="1">
      <c r="A64" s="3" t="n"/>
      <c r="B64" s="12" t="n"/>
      <c r="C64" s="3" t="n"/>
      <c r="D64" s="3" t="n"/>
      <c r="E64" s="3" t="n"/>
      <c r="F64" s="3" t="n"/>
      <c r="G64" s="3" t="n"/>
      <c r="H64" s="3" t="n"/>
      <c r="I64" s="3" t="n"/>
      <c r="J64" s="26" t="n"/>
      <c r="K64" s="3" t="n"/>
      <c r="L64" s="3" t="n"/>
      <c r="M64" s="3" t="n"/>
      <c r="N64" s="3" t="n"/>
      <c r="O64" s="3" t="n"/>
      <c r="P64" s="3" t="n"/>
      <c r="Q64" s="3" t="n"/>
    </row>
  </sheetData>
  <conditionalFormatting sqref="I1:I1048576">
    <cfRule type="cellIs" priority="2" operator="equal" dxfId="14">
      <formula>$I$31</formula>
    </cfRule>
    <cfRule type="cellIs" priority="1" operator="equal" dxfId="13">
      <formula>$I$32</formula>
    </cfRule>
  </conditionalFormatting>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37"/>
  <sheetViews>
    <sheetView zoomScaleNormal="100" workbookViewId="0">
      <pane ySplit="2" topLeftCell="A3" activePane="bottomLeft" state="frozen"/>
      <selection pane="bottomLeft" activeCell="B4" sqref="B4:B8"/>
    </sheetView>
  </sheetViews>
  <sheetFormatPr baseColWidth="8" defaultColWidth="11.42578125" defaultRowHeight="14.25"/>
  <cols>
    <col width="12" customWidth="1" min="1" max="1"/>
    <col width="34" customWidth="1" min="2" max="2"/>
    <col width="32" customWidth="1" min="3" max="3"/>
    <col width="72" customWidth="1" min="4" max="4"/>
    <col width="8.42578125" customWidth="1" min="5" max="13"/>
  </cols>
  <sheetData>
    <row r="1" ht="24" customHeight="1">
      <c r="A1" s="41" t="inlineStr">
        <is>
          <t>CRONOGRAMA ACTUALIZADO</t>
        </is>
      </c>
    </row>
    <row r="2" ht="21.75" customHeight="1">
      <c r="A2" s="9" t="inlineStr">
        <is>
          <t>Clase</t>
        </is>
      </c>
      <c r="B2" s="9" t="inlineStr">
        <is>
          <t>Profesor</t>
        </is>
      </c>
      <c r="C2" s="9" t="inlineStr">
        <is>
          <t>Fecha</t>
        </is>
      </c>
      <c r="D2" s="9" t="inlineStr">
        <is>
          <t>Tema</t>
        </is>
      </c>
    </row>
    <row r="3" ht="24" customHeight="1">
      <c r="A3" s="15" t="inlineStr">
        <is>
          <t>CLASE 1</t>
        </is>
      </c>
      <c r="B3" s="16" t="inlineStr">
        <is>
          <t>Marta Lucia Ramírez</t>
        </is>
      </c>
      <c r="C3" s="17" t="inlineStr">
        <is>
          <t>Jueves, 1 de octubre de 2026</t>
        </is>
      </c>
      <c r="D3" s="18" t="inlineStr">
        <is>
          <t>CONTEXTO GENERAL DE LA AMENAZA DE LA CORRUPCIÓN</t>
        </is>
      </c>
      <c r="E3" s="19" t="n"/>
      <c r="F3" s="20" t="n"/>
      <c r="G3" s="20" t="n"/>
      <c r="H3" s="20" t="n"/>
      <c r="I3" s="19" t="n"/>
      <c r="J3" s="19" t="n"/>
      <c r="K3" s="20" t="n"/>
      <c r="L3" s="20" t="n"/>
      <c r="M3" s="20" t="n"/>
    </row>
    <row r="4" ht="24" customHeight="1">
      <c r="A4" s="7" t="inlineStr">
        <is>
          <t>CLASE 2</t>
        </is>
      </c>
      <c r="B4" s="25" t="inlineStr">
        <is>
          <t>SABANA</t>
        </is>
      </c>
      <c r="C4" s="21" t="inlineStr">
        <is>
          <t>Viernes, 2 de octubre de 2026</t>
        </is>
      </c>
      <c r="D4" s="18" t="inlineStr">
        <is>
          <t>SISTEMA DE GESTIÓN DE RIESGOS</t>
        </is>
      </c>
      <c r="E4" s="19" t="n"/>
      <c r="F4" s="22" t="n"/>
      <c r="G4" s="23" t="n"/>
      <c r="H4" s="23" t="n"/>
      <c r="I4" s="19" t="n"/>
      <c r="J4" s="19" t="n"/>
      <c r="K4" s="22" t="n"/>
      <c r="L4" s="23" t="n"/>
      <c r="M4" s="23" t="n"/>
    </row>
    <row r="5" ht="24" customHeight="1">
      <c r="A5" s="9" t="inlineStr">
        <is>
          <t>CLASE 3</t>
        </is>
      </c>
      <c r="B5" s="25" t="inlineStr">
        <is>
          <t>SABANA</t>
        </is>
      </c>
      <c r="C5" s="6" t="inlineStr">
        <is>
          <t>Martes, 6 de octubre de 2026</t>
        </is>
      </c>
      <c r="D5" s="18" t="inlineStr">
        <is>
          <t>SISTEMA DE GESTIÓN DE RIESGOS</t>
        </is>
      </c>
      <c r="E5" s="19" t="n"/>
      <c r="F5" s="22" t="n"/>
      <c r="G5" s="24" t="n"/>
      <c r="H5" s="23" t="n"/>
      <c r="I5" s="19" t="n"/>
      <c r="J5" s="19" t="n"/>
      <c r="K5" s="22" t="n"/>
      <c r="L5" s="24" t="n"/>
      <c r="M5" s="24" t="n"/>
    </row>
    <row r="6" ht="36" customHeight="1">
      <c r="A6" s="9" t="inlineStr">
        <is>
          <t>CLASE 4</t>
        </is>
      </c>
      <c r="B6" s="25" t="inlineStr">
        <is>
          <t>SABANA</t>
        </is>
      </c>
      <c r="C6" s="6" t="inlineStr">
        <is>
          <t>Miércoles, 7 de octubre de 2026</t>
        </is>
      </c>
      <c r="D6" s="18" t="inlineStr">
        <is>
          <t>SISTEMA DE GESTIÓN DE RIESGOS</t>
        </is>
      </c>
      <c r="E6" s="19" t="n"/>
      <c r="F6" s="19" t="n"/>
      <c r="G6" s="24" t="n"/>
      <c r="H6" s="24" t="n"/>
      <c r="I6" s="19" t="n"/>
      <c r="J6" s="19" t="n"/>
      <c r="K6" s="19" t="n"/>
      <c r="L6" s="24" t="n"/>
      <c r="M6" s="24" t="n"/>
    </row>
    <row r="7" ht="24" customHeight="1">
      <c r="A7" s="9" t="inlineStr">
        <is>
          <t>CLASE 5</t>
        </is>
      </c>
      <c r="B7" s="25" t="inlineStr">
        <is>
          <t>SABANA</t>
        </is>
      </c>
      <c r="C7" s="6" t="inlineStr">
        <is>
          <t>Jueves, 8 de octubre de 2026</t>
        </is>
      </c>
      <c r="D7" s="18" t="inlineStr">
        <is>
          <t>SISTEMA DE GESTIÓN DE RIESGOS</t>
        </is>
      </c>
      <c r="E7" s="19" t="n"/>
      <c r="F7" s="19" t="n"/>
      <c r="G7" s="24" t="n"/>
      <c r="H7" s="24" t="n"/>
      <c r="I7" s="19" t="n"/>
      <c r="J7" s="19" t="n"/>
      <c r="K7" s="19" t="n"/>
      <c r="L7" s="24" t="n"/>
      <c r="M7" s="24" t="n"/>
    </row>
    <row r="8" ht="24" customHeight="1">
      <c r="A8" s="9" t="inlineStr">
        <is>
          <t>CLASE 6</t>
        </is>
      </c>
      <c r="B8" s="25" t="inlineStr">
        <is>
          <t>SABANA</t>
        </is>
      </c>
      <c r="C8" s="6" t="inlineStr">
        <is>
          <t>Viernes, 9 de octubre de 2026</t>
        </is>
      </c>
      <c r="D8" s="18" t="inlineStr">
        <is>
          <t>EL OFICIAL DE CUMPLIMIENTO Y LA JUNTA DIRECTIVA</t>
        </is>
      </c>
      <c r="E8" s="19" t="n"/>
      <c r="F8" s="19" t="n"/>
      <c r="G8" s="19" t="n"/>
      <c r="H8" s="24" t="n"/>
      <c r="I8" s="19" t="n"/>
      <c r="J8" s="19" t="n"/>
      <c r="K8" s="19" t="n"/>
      <c r="L8" s="19" t="n"/>
      <c r="M8" s="24" t="n"/>
    </row>
    <row r="9" ht="24" customHeight="1">
      <c r="A9" s="9" t="inlineStr">
        <is>
          <t>CLASE 7</t>
        </is>
      </c>
      <c r="B9" s="18" t="inlineStr">
        <is>
          <t>Felipe Ortegón</t>
        </is>
      </c>
      <c r="C9" s="6" t="inlineStr">
        <is>
          <t>Martes, 13 de octubre de 2026</t>
        </is>
      </c>
      <c r="D9" s="18" t="inlineStr">
        <is>
          <t>TRANSPARENCIA EN LA CONTRATACIÓN</t>
        </is>
      </c>
      <c r="E9" s="19" t="n"/>
      <c r="F9" s="19" t="n"/>
      <c r="G9" s="19" t="n"/>
      <c r="H9" s="24" t="n"/>
      <c r="I9" s="19" t="n"/>
      <c r="J9" s="19" t="n"/>
      <c r="K9" s="19" t="n"/>
      <c r="L9" s="19" t="n"/>
      <c r="M9" s="24" t="n"/>
    </row>
    <row r="10" ht="36" customHeight="1">
      <c r="A10" s="9" t="inlineStr">
        <is>
          <t>CLASE 8</t>
        </is>
      </c>
      <c r="B10" s="18" t="inlineStr">
        <is>
          <t>Beatriz Londoño P</t>
        </is>
      </c>
      <c r="C10" s="6" t="inlineStr">
        <is>
          <t>Miércoles, 14 de octubre de 2026</t>
        </is>
      </c>
      <c r="D10" s="18" t="inlineStr">
        <is>
          <t>CONTEXTO GENERAL DE LA AMENAZA DE LA CORRUPCIÓN</t>
        </is>
      </c>
      <c r="E10" s="19" t="n"/>
      <c r="F10" s="19" t="n"/>
      <c r="G10" s="19" t="n"/>
      <c r="H10" s="19" t="n"/>
      <c r="I10" s="19" t="n"/>
      <c r="J10" s="19" t="n"/>
      <c r="K10" s="19" t="n"/>
      <c r="L10" s="19" t="n"/>
      <c r="M10" s="24" t="n"/>
    </row>
    <row r="11" ht="24" customHeight="1">
      <c r="A11" s="9" t="inlineStr">
        <is>
          <t>CLASE 9</t>
        </is>
      </c>
      <c r="B11" s="18" t="inlineStr">
        <is>
          <t>Beatriz Londoño P</t>
        </is>
      </c>
      <c r="C11" s="6" t="inlineStr">
        <is>
          <t>Jueves, 15 de octubre de 2026</t>
        </is>
      </c>
      <c r="D11" s="18" t="inlineStr">
        <is>
          <t>CONTEXTO GENERAL DE LA AMENAZA DE LA CORRUPCIÓN</t>
        </is>
      </c>
    </row>
    <row r="12" ht="36" customHeight="1">
      <c r="A12" s="9" t="inlineStr">
        <is>
          <t>CLASE 10</t>
        </is>
      </c>
      <c r="B12" s="18" t="inlineStr">
        <is>
          <t>Mery Mantilla</t>
        </is>
      </c>
      <c r="C12" s="6" t="inlineStr">
        <is>
          <t>Martes, 20 de octubre de 2026</t>
        </is>
      </c>
      <c r="D12" s="18" t="inlineStr">
        <is>
          <t>EVOLUCIÓN Y MARCO NORMATIVO DEL COMPLIANCE
EN EEUU</t>
        </is>
      </c>
    </row>
    <row r="13" ht="36" customHeight="1">
      <c r="A13" s="9" t="inlineStr">
        <is>
          <t>CLASE 11</t>
        </is>
      </c>
      <c r="B13" s="18" t="inlineStr">
        <is>
          <t>Mery Mantilla</t>
        </is>
      </c>
      <c r="C13" s="6" t="inlineStr">
        <is>
          <t>Miércoles, 21 de octubre de 2026</t>
        </is>
      </c>
      <c r="D13" s="18" t="inlineStr">
        <is>
          <t>EVOLUCIÓN Y MARCO NORMATIVO DEL COMPLIANCE
EN EEUU</t>
        </is>
      </c>
    </row>
    <row r="14" ht="36" customHeight="1">
      <c r="A14" s="9" t="inlineStr">
        <is>
          <t>CLASE 12</t>
        </is>
      </c>
      <c r="B14" s="18" t="inlineStr">
        <is>
          <t>Marta Lucia Ramírez</t>
        </is>
      </c>
      <c r="C14" s="6" t="inlineStr">
        <is>
          <t>Jueves, 22 de octubre de 2026</t>
        </is>
      </c>
      <c r="D14" s="18" t="inlineStr">
        <is>
          <t>CONTEXTO GENERAL DE LA AMENAZA Y DEL LAVADO DE ACTIVOS Y EL MARCO NORMATIVO APLICADO PARA ENFRENTARLA</t>
        </is>
      </c>
    </row>
    <row r="15" ht="36" customHeight="1">
      <c r="A15" s="9" t="inlineStr">
        <is>
          <t>CLASE 13</t>
        </is>
      </c>
      <c r="B15" s="18" t="inlineStr">
        <is>
          <t>Marta Lucia Ramírez</t>
        </is>
      </c>
      <c r="C15" s="6" t="inlineStr">
        <is>
          <t>Viernes, 23 de octubre de 2026</t>
        </is>
      </c>
      <c r="D15" s="18" t="inlineStr">
        <is>
          <t>CONTEXTO GENERAL DE LA AMENAZA Y DEL LAVADO DE ACTIVOS Y EL MARCO NORMATIVO APLICADO PARA ENFRENTARLA</t>
        </is>
      </c>
    </row>
    <row r="16" ht="36" customHeight="1">
      <c r="A16" s="9" t="inlineStr">
        <is>
          <t>CLASE 14</t>
        </is>
      </c>
      <c r="B16" s="18" t="inlineStr">
        <is>
          <t>Marta Lucia Ramírez</t>
        </is>
      </c>
      <c r="C16" s="6" t="inlineStr">
        <is>
          <t>Martes, 27 de octubre de 2026</t>
        </is>
      </c>
      <c r="D16" s="18" t="inlineStr">
        <is>
          <t>CONTEXTO GENERAL DE LA AMENAZA Y DEL LAVADO DE ACTIVOS Y EL MARCO NORMATIVO APLICADO PARA ENFRENTARLA</t>
        </is>
      </c>
    </row>
    <row r="17" ht="36" customHeight="1">
      <c r="A17" s="9" t="inlineStr">
        <is>
          <t>CLASE 15</t>
        </is>
      </c>
      <c r="B17" s="18" t="inlineStr">
        <is>
          <t>Marta Lucia Ramírez</t>
        </is>
      </c>
      <c r="C17" s="6" t="inlineStr">
        <is>
          <t>Miércoles, 28 de octubre de 2026</t>
        </is>
      </c>
      <c r="D17" s="18" t="inlineStr">
        <is>
          <t>CONTEXTO GENERAL DE LA AMENAZA DEL FINANCIAMIENTO DEL TERRORISMO Y DE LA PROLIFERACIÓN DE ARMAS DE DESTRUCCIÓN MASIVA</t>
        </is>
      </c>
    </row>
    <row r="18" ht="36" customHeight="1">
      <c r="A18" s="9" t="inlineStr">
        <is>
          <t>CLASE 16</t>
        </is>
      </c>
      <c r="B18" s="18" t="inlineStr">
        <is>
          <t>Camilo Jaimes P</t>
        </is>
      </c>
      <c r="C18" s="6" t="inlineStr">
        <is>
          <t>Viernes, 30 de octubre de 2026</t>
        </is>
      </c>
      <c r="D18" s="18" t="inlineStr">
        <is>
          <t>HERRAMIENTAS Y CONTROLES ANTI- LAVADO Y ANTI-CORRUPCIÓN.</t>
        </is>
      </c>
    </row>
    <row r="19" ht="36" customHeight="1">
      <c r="A19" s="9" t="inlineStr">
        <is>
          <t>CLASE 17</t>
        </is>
      </c>
      <c r="B19" s="18" t="inlineStr">
        <is>
          <t>Camilo Jaimes P</t>
        </is>
      </c>
      <c r="C19" s="6" t="inlineStr">
        <is>
          <t>Martes, 3 de noviembre de 2026</t>
        </is>
      </c>
      <c r="D19" s="18" t="inlineStr">
        <is>
          <t>HERRAMIENTAS Y CONTROLES ANTI- LAVADO Y ANTI-CORRUPCIÓN.</t>
        </is>
      </c>
    </row>
    <row r="20" ht="36" customHeight="1">
      <c r="A20" s="9" t="inlineStr">
        <is>
          <t>CLASE 18</t>
        </is>
      </c>
      <c r="B20" s="18" t="inlineStr">
        <is>
          <t>Wilson Gonzalez</t>
        </is>
      </c>
      <c r="C20" s="6" t="inlineStr">
        <is>
          <t>Miércoles, 4 de noviembre de 2026</t>
        </is>
      </c>
      <c r="D20" s="18" t="inlineStr">
        <is>
          <t>SEGMENTACIÓN PARA EL ANÁLISIS DE RIESGOS ALA/CFT.</t>
        </is>
      </c>
    </row>
    <row r="21" ht="36" customHeight="1">
      <c r="A21" s="9" t="inlineStr">
        <is>
          <t>CLASE 19</t>
        </is>
      </c>
      <c r="B21" s="18" t="inlineStr">
        <is>
          <t>Wilson Gonzalez</t>
        </is>
      </c>
      <c r="C21" s="6" t="inlineStr">
        <is>
          <t>Jueves, 5 de noviembre de 2026</t>
        </is>
      </c>
      <c r="D21" s="18" t="inlineStr">
        <is>
          <t>SEGMENTACIÓN PARA EL ANÁLISIS DE RIESGOS ALA/CFT.</t>
        </is>
      </c>
    </row>
    <row r="22" ht="36" customHeight="1">
      <c r="A22" s="9" t="inlineStr">
        <is>
          <t>CLASE 20</t>
        </is>
      </c>
      <c r="B22" s="18" t="inlineStr">
        <is>
          <t>Wilson Gonzalez</t>
        </is>
      </c>
      <c r="C22" s="6" t="inlineStr">
        <is>
          <t>Viernes, 6 de noviembre de 2026</t>
        </is>
      </c>
      <c r="D22" s="18" t="inlineStr">
        <is>
          <t>TALLER SEGMENTACIÓN</t>
        </is>
      </c>
    </row>
    <row r="23" ht="36" customHeight="1">
      <c r="A23" s="9" t="inlineStr">
        <is>
          <t>CLASE 21</t>
        </is>
      </c>
      <c r="B23" s="18" t="inlineStr">
        <is>
          <t>Camilo Jaimes P</t>
        </is>
      </c>
      <c r="C23" s="6" t="inlineStr">
        <is>
          <t>Martes, 10 de noviembre de 2026</t>
        </is>
      </c>
      <c r="D23" s="18" t="inlineStr">
        <is>
          <t>CANALES DE DENUNCIA, INVESTIGACIONES INTERNAS Y PROTECCIÓN A DENUNCIANTES</t>
        </is>
      </c>
    </row>
    <row r="24" ht="36" customHeight="1">
      <c r="A24" s="9" t="inlineStr">
        <is>
          <t>CLASE 22</t>
        </is>
      </c>
      <c r="B24" s="18" t="inlineStr">
        <is>
          <t>Camilo Jaimes P</t>
        </is>
      </c>
      <c r="C24" s="6" t="inlineStr">
        <is>
          <t>Miércoles, 11 de noviembre de 2026</t>
        </is>
      </c>
      <c r="D24" s="18" t="inlineStr">
        <is>
          <t>CANALES DE DENUNCIA, INVESTIGACIONES INTERNAS Y PROTECCIÓN A DENUNCIANTES</t>
        </is>
      </c>
    </row>
    <row r="25" ht="36" customHeight="1">
      <c r="A25" s="9" t="inlineStr">
        <is>
          <t>CLASE 23</t>
        </is>
      </c>
      <c r="B25" s="18" t="inlineStr">
        <is>
          <t>Marta Lucia Ramírez y Beatriz Londoño P</t>
        </is>
      </c>
      <c r="C25" s="6" t="inlineStr">
        <is>
          <t>Jueves, 12 de noviembre de 2026</t>
        </is>
      </c>
      <c r="D25" s="18" t="inlineStr">
        <is>
          <t>PROGRAMAS DE TRANSPARENCIA Y ÉTICA PÚBLICA Y EMPRESARIAL</t>
        </is>
      </c>
    </row>
    <row r="26" ht="36" customHeight="1">
      <c r="A26" s="9" t="inlineStr">
        <is>
          <t>CLASE 24</t>
        </is>
      </c>
      <c r="B26" s="18" t="inlineStr">
        <is>
          <t>Sebastián Villegas</t>
        </is>
      </c>
      <c r="C26" s="6" t="inlineStr">
        <is>
          <t>Martes, 17 de noviembre de 2026</t>
        </is>
      </c>
      <c r="D26" s="18" t="inlineStr">
        <is>
          <t>BIG DATA Y ANALÍTICA EN LA GESTIÓN DEL RIESGO ANTILAVADO Y ANTICORRUPCIÓN</t>
        </is>
      </c>
    </row>
    <row r="27" ht="36" customHeight="1">
      <c r="A27" s="9" t="inlineStr">
        <is>
          <t>CLASE 25</t>
        </is>
      </c>
      <c r="B27" s="18" t="inlineStr">
        <is>
          <t>Sebastián Villegas</t>
        </is>
      </c>
      <c r="C27" s="6" t="inlineStr">
        <is>
          <t>Miércoles, 18 de noviembre de 2026</t>
        </is>
      </c>
      <c r="D27" s="18" t="inlineStr">
        <is>
          <t>BIG DATA Y ANALÍTICA EN LA GESTIÓN DEL RIESGO ANTILAVADO Y ANTICORRUPCIÓN</t>
        </is>
      </c>
    </row>
    <row r="28" ht="36" customHeight="1">
      <c r="A28" s="9" t="inlineStr">
        <is>
          <t>CLASE 26</t>
        </is>
      </c>
      <c r="B28" s="18" t="inlineStr">
        <is>
          <t>Sebastián Villegas</t>
        </is>
      </c>
      <c r="C28" s="6" t="inlineStr">
        <is>
          <t>Jueves, 19 de noviembre de 2026</t>
        </is>
      </c>
      <c r="D28" s="18" t="inlineStr">
        <is>
          <t>BIG DATA Y ANALÍTICA EN LA GESTIÓN DEL RIESGO ANTILAVADO Y ANTICORRUPCIÓN</t>
        </is>
      </c>
    </row>
    <row r="29" ht="51" customHeight="1">
      <c r="A29" s="9" t="inlineStr">
        <is>
          <t>CLASE 27</t>
        </is>
      </c>
      <c r="B29" s="18" t="inlineStr">
        <is>
          <t>Beatriz Londoño P</t>
        </is>
      </c>
      <c r="C29" s="6" t="inlineStr">
        <is>
          <t>Viernes, 20 de noviembre de 2026</t>
        </is>
      </c>
      <c r="D29" s="18" t="inlineStr">
        <is>
          <t>TALLERES PRÁCTICOS SOBRE CASUISTICA, TIPOLOGÍAS DE LAVADO, CORRUPCIÓN, USO DE NUEVAS TECNOLOGÍAS Y METODOLOGÍAS DE CASOS PARA ANALIZAR MODALIDADES DE CORRUPCIÓN y LAVADO DE ACTIVOS</t>
        </is>
      </c>
    </row>
    <row r="30" ht="51" customHeight="1">
      <c r="A30" s="9" t="inlineStr">
        <is>
          <t>CLASE 28</t>
        </is>
      </c>
      <c r="B30" s="18" t="inlineStr">
        <is>
          <t>Pablo Latorre</t>
        </is>
      </c>
      <c r="C30" s="6" t="inlineStr">
        <is>
          <t>Martes, 24 de noviembre de 2026</t>
        </is>
      </c>
      <c r="D30" s="18" t="inlineStr">
        <is>
          <t>TALLERES PRÁCTICOS SOBRE CASUISTICA, TIPOLOGÍAS DE LAVADO, CORRUPCIÓN, USO DE NUEVAS TECNOLOGÍAS Y METODOLOGÍAS DE CASOS PARA ANALIZAR MODALIDADES DE CORRUPCIÓN y LAVADO DE ACTIVOS</t>
        </is>
      </c>
    </row>
    <row r="31" ht="51" customHeight="1">
      <c r="A31" s="9" t="inlineStr">
        <is>
          <t>CLASE 29</t>
        </is>
      </c>
      <c r="B31" s="18" t="inlineStr">
        <is>
          <t>Camilo Jaimes P</t>
        </is>
      </c>
      <c r="C31" s="6" t="inlineStr">
        <is>
          <t>Miércoles, 25 de noviembre de 2026</t>
        </is>
      </c>
      <c r="D31" s="18" t="inlineStr">
        <is>
          <t>TALLERES PRÁCTICOS SOBRE CASUISTICA, TIPOLOGÍAS DE LAVADO, CORRUPCIÓN, USO DE NUEVAS TECNOLOGÍAS Y METODOLOGÍAS DE CASOS PARA ANALIZAR MODALIDADES DE CORRUPCIÓN y LAVADO DE ACTIVOS</t>
        </is>
      </c>
    </row>
    <row r="32" ht="51" customHeight="1">
      <c r="A32" s="9" t="inlineStr">
        <is>
          <t>CLASE 30</t>
        </is>
      </c>
      <c r="B32" s="18" t="inlineStr">
        <is>
          <t>Marta Lucia Ramírez y Beatriz Londoño P</t>
        </is>
      </c>
      <c r="C32" s="6" t="inlineStr">
        <is>
          <t>Jueves, 26 de noviembre de 2026</t>
        </is>
      </c>
      <c r="D32" s="18" t="inlineStr">
        <is>
          <t>TALLERES PRÁCTICOS SOBRE CASUISTICA, TIPOLOGÍAS DE LAVADO, CORRUPCIÓN, USO DE NUEVAS TECNOLOGÍAS Y METODOLOGÍAS DE CASOS PARA ANALIZAR MODALIDADES DE CORRUPCIÓN y LAVADO DE ACTIVOS</t>
        </is>
      </c>
    </row>
    <row r="33" ht="51" customHeight="1">
      <c r="A33" s="9" t="inlineStr">
        <is>
          <t>CLASE 31</t>
        </is>
      </c>
      <c r="B33" s="18" t="inlineStr">
        <is>
          <t>Camilo Jaimes P</t>
        </is>
      </c>
      <c r="C33" s="6" t="inlineStr">
        <is>
          <t>Viernes, 27 de noviembre de 2026</t>
        </is>
      </c>
      <c r="D33" s="18" t="inlineStr">
        <is>
          <t>TALLERES PRÁCTICOS SOBRE CASUISTICA, TIPOLOGÍAS DE LAVADO, CORRUPCIÓN, USO DE NUEVAS TECNOLOGÍAS Y METODOLOGÍAS DE CASOS PARA ANALIZAR MODALIDADES DE CORRUPCIÓN y LAVADO DE ACTIVOS</t>
        </is>
      </c>
    </row>
    <row r="34" ht="36" customHeight="1">
      <c r="A34" s="9" t="inlineStr">
        <is>
          <t>CLASE 32</t>
        </is>
      </c>
      <c r="B34" s="18" t="inlineStr">
        <is>
          <t>Angélica Sánchez Durán</t>
        </is>
      </c>
      <c r="C34" s="6" t="inlineStr">
        <is>
          <t>Martes, 1 de diciembre de 2026</t>
        </is>
      </c>
      <c r="D34" s="18" t="inlineStr">
        <is>
          <t>LOS REPORTES INTERNOS DE OPERACIONES INUSUALES Y LOS REPORTES EXTERNOS DE OPERACIONES SOSPECHOSAS (ROS)</t>
        </is>
      </c>
    </row>
    <row r="35" ht="36" customHeight="1">
      <c r="A35" s="9" t="inlineStr">
        <is>
          <t>CLASE 33</t>
        </is>
      </c>
      <c r="B35" s="18" t="inlineStr">
        <is>
          <t>Camilo Jaimes P</t>
        </is>
      </c>
      <c r="C35" s="6" t="inlineStr">
        <is>
          <t>Miércoles, 2 de diciembre de 2026</t>
        </is>
      </c>
      <c r="D35" s="18" t="inlineStr">
        <is>
          <t>NEUROSCIENCIA, ÉTICA Y COMPLIANCE</t>
        </is>
      </c>
    </row>
    <row r="36" ht="36" customHeight="1">
      <c r="A36" s="9" t="inlineStr">
        <is>
          <t>CLASE 34</t>
        </is>
      </c>
      <c r="B36" s="18" t="inlineStr">
        <is>
          <t>Andrés Murcia</t>
        </is>
      </c>
      <c r="C36" s="6" t="inlineStr">
        <is>
          <t>Jueves, 3 de diciembre de 2026</t>
        </is>
      </c>
      <c r="D36" s="18" t="inlineStr">
        <is>
          <t>ÉTICA DEL COMPORTAMIENTO COMO BASE DE LOS PROGRAMAS CUMPLIMIENTO</t>
        </is>
      </c>
    </row>
    <row r="37" ht="36" customHeight="1">
      <c r="A37" s="9" t="inlineStr">
        <is>
          <t>CLASE 35</t>
        </is>
      </c>
      <c r="B37" s="18" t="inlineStr">
        <is>
          <t>Camilo Jaimes P</t>
        </is>
      </c>
      <c r="C37" s="6" t="inlineStr">
        <is>
          <t>Viernes, 4 de diciembre de 2026</t>
        </is>
      </c>
      <c r="D37" s="18" t="inlineStr">
        <is>
          <t>ÉTICA DEL COMPORTAMIENTO COMO BASE DE LOS PROGRAMAS CUMPLIMIENTO</t>
        </is>
      </c>
    </row>
  </sheetData>
  <autoFilter ref="A2:D37"/>
  <mergeCells count="1">
    <mergeCell ref="A1:D1"/>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THINKPAD</dc:creator>
  <dcterms:created xsi:type="dcterms:W3CDTF">2026-09-11T21:52:51Z</dcterms:created>
  <dcterms:modified xsi:type="dcterms:W3CDTF">2026-10-01T20:31:02Z</dcterms:modified>
  <cp:revision>0</cp:revision>
</cp:coreProperties>
</file>

<file path=docProps/custom.xml><?xml version="1.0" encoding="utf-8"?>
<Properties xmlns:vt="http://schemas.openxmlformats.org/officeDocument/2006/docPropsVTypes" xmlns="http://schemas.openxmlformats.org/officeDocument/2006/custom-properties">
  <property name="ComplianceAssetId" fmtid="{D5CDD505-2E9C-101B-9397-08002B2CF9AE}" pid="2">
    <vt:lpwstr/>
  </property>
  <property name="ContentTypeId" fmtid="{D5CDD505-2E9C-101B-9397-08002B2CF9AE}" pid="3">
    <vt:lpwstr>0x0101000307E39ED47B9C4E8B2346469F76F2B1</vt:lpwstr>
  </property>
  <property name="Order" fmtid="{D5CDD505-2E9C-101B-9397-08002B2CF9AE}" pid="4">
    <vt:r8>3422000</vt:r8>
  </property>
  <property name="TriggerFlowInfo" fmtid="{D5CDD505-2E9C-101B-9397-08002B2CF9AE}" pid="5">
    <vt:lpwstr/>
  </property>
  <property name="_ExtendedDescription" fmtid="{D5CDD505-2E9C-101B-9397-08002B2CF9AE}" pid="6">
    <vt:lpwstr/>
  </property>
  <property name="_SharedFileIndex" fmtid="{D5CDD505-2E9C-101B-9397-08002B2CF9AE}" pid="7">
    <vt:lpwstr/>
  </property>
  <property name="_SourceUrl" fmtid="{D5CDD505-2E9C-101B-9397-08002B2CF9AE}" pid="8">
    <vt:lpwstr/>
  </property>
  <property name="MediaServiceImageTags" fmtid="{D5CDD505-2E9C-101B-9397-08002B2CF9AE}" pid="9">
    <vt:lpwstr/>
  </property>
</Properties>
</file>